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UM\Programes Naum\CENTRE DE DIA\ACTIVITATS LUDICO-SOCIALS\CURSO 2025-2026\7. COORDIS\1. REGISTROS CORRECTOS\"/>
    </mc:Choice>
  </mc:AlternateContent>
  <bookViews>
    <workbookView xWindow="0" yWindow="0" windowWidth="23040" windowHeight="8652"/>
  </bookViews>
  <sheets>
    <sheet name="Dousso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0" i="1" l="1"/>
  <c r="Q39" i="1"/>
  <c r="Q37" i="1"/>
  <c r="Q36" i="1"/>
  <c r="Q35" i="1"/>
  <c r="Q33" i="1"/>
  <c r="Q32" i="1"/>
  <c r="Q31" i="1"/>
  <c r="Q30" i="1"/>
  <c r="Q29" i="1"/>
  <c r="Q28" i="1"/>
  <c r="Q26" i="1"/>
  <c r="Q25" i="1"/>
  <c r="Q24" i="1"/>
  <c r="Q23" i="1"/>
  <c r="Q22" i="1"/>
  <c r="Q20" i="1"/>
  <c r="Q19" i="1"/>
</calcChain>
</file>

<file path=xl/sharedStrings.xml><?xml version="1.0" encoding="utf-8"?>
<sst xmlns="http://schemas.openxmlformats.org/spreadsheetml/2006/main" count="47" uniqueCount="47">
  <si>
    <t>AVALUACIÓ INDICADORS</t>
  </si>
  <si>
    <t>OCT</t>
  </si>
  <si>
    <t>NOV</t>
  </si>
  <si>
    <t>DES</t>
  </si>
  <si>
    <t>GEN</t>
  </si>
  <si>
    <t>FEB</t>
  </si>
  <si>
    <t>MAR</t>
  </si>
  <si>
    <t>ABR</t>
  </si>
  <si>
    <t>MAI</t>
  </si>
  <si>
    <t>JUN</t>
  </si>
  <si>
    <t>TOTAL</t>
  </si>
  <si>
    <t>ACONSEGUIR UNA ASSISTÈNCIA ESTABLE I CONTINUADA</t>
  </si>
  <si>
    <t>Assistència mensual de l'infant (racó)(*)</t>
  </si>
  <si>
    <t>Assistència mensual de l'infant (lúdiques)(*)</t>
  </si>
  <si>
    <t>MILLORAR ELS HÀBITS D'ESTUDI</t>
  </si>
  <si>
    <t>S'organitza i planifica les tasques (*)</t>
  </si>
  <si>
    <t>Du l'agenda i el material escolar (*)</t>
  </si>
  <si>
    <t>Bon seguiment de les tasques escolars (*)</t>
  </si>
  <si>
    <t>És autònom per fer les tasques (*)</t>
  </si>
  <si>
    <t>Adequada implicació de l'infant a l'escola</t>
  </si>
  <si>
    <t>MILLORAR LES RELACIONS INTERPERSONALS</t>
  </si>
  <si>
    <t>Participa positivament a les activitats (*)</t>
  </si>
  <si>
    <t>Es sent bé dintre del grup (*)</t>
  </si>
  <si>
    <t>Relacions i vincles són positius amb adults (*)</t>
  </si>
  <si>
    <t>Relacions i vincles són positius amb iguals (*)</t>
  </si>
  <si>
    <t>Fa una bona gestió dels conflictes (*)</t>
  </si>
  <si>
    <t>Identifica i gestiona les emocions (*)</t>
  </si>
  <si>
    <t>DETECTAR SITUACIONS DE RISC</t>
  </si>
  <si>
    <t>L'infant és puntual (*)</t>
  </si>
  <si>
    <t>Supervisió i cura de la família és adequada (*)</t>
  </si>
  <si>
    <t>El context familiar és segur per l'infant (*)</t>
  </si>
  <si>
    <r>
      <t xml:space="preserve">MILLORAR ELS HÀBITS DE VIDA SALUDABLE     </t>
    </r>
    <r>
      <rPr>
        <sz val="9"/>
        <color theme="1"/>
        <rFont val="Calibri"/>
        <family val="2"/>
        <scheme val="minor"/>
      </rPr>
      <t>(si= 1, no= 0)</t>
    </r>
  </si>
  <si>
    <t>Participa d'activitats d'esport i/o moviment (*)</t>
  </si>
  <si>
    <t>Fa ús dels berenars saludables (*)</t>
  </si>
  <si>
    <t>(*) Valoració de l'educador</t>
  </si>
  <si>
    <t>LLINATGES, NOM</t>
  </si>
  <si>
    <t>ESCOLA I CURS</t>
  </si>
  <si>
    <t>PROGRAMES</t>
  </si>
  <si>
    <t>"LA CAIXA"</t>
  </si>
  <si>
    <t>EDUCADOR/A</t>
  </si>
  <si>
    <t>VOLUNTARIS</t>
  </si>
  <si>
    <t>GRUP</t>
  </si>
  <si>
    <t>A________________, _____ de _____</t>
  </si>
  <si>
    <t>_______________202_____</t>
  </si>
  <si>
    <t>FIRMA:</t>
  </si>
  <si>
    <t>DIARI DE SEGUIMENT CURS 25-26</t>
  </si>
  <si>
    <r>
      <t>FUNDACIÓN NAUM
PROYECTO SOCIOEDUCATIVO
C/ C'an Ferragut , 4A     C.P: 07011     Palma de Mallorca
Tef: 971.78.30.19           
e-mail: info@naumsonroca.es     CIF: G75889352</t>
    </r>
    <r>
      <rPr>
        <sz val="8"/>
        <rFont val="Arial"/>
        <family val="2"/>
      </rPr>
      <t xml:space="preserve">
Data: 07/01/2026         Codi: R-AS.08          Edició: 10ª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</si>
</sst>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Segoe U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0" tint="-0.499984740745262"/>
      </bottom>
      <diagonal/>
    </border>
    <border>
      <left/>
      <right/>
      <top style="medium">
        <color theme="1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1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/>
      <diagonal/>
    </border>
    <border>
      <left style="thin">
        <color theme="0" tint="-0.499984740745262"/>
      </left>
      <right/>
      <top style="medium">
        <color theme="1"/>
      </top>
      <bottom/>
      <diagonal/>
    </border>
    <border>
      <left style="medium">
        <color theme="0" tint="-0.499984740745262"/>
      </left>
      <right/>
      <top style="medium">
        <color theme="1"/>
      </top>
      <bottom style="medium">
        <color theme="0" tint="-0.499984740745262"/>
      </bottom>
      <diagonal/>
    </border>
    <border>
      <left/>
      <right style="medium">
        <color theme="1"/>
      </right>
      <top style="medium">
        <color theme="1"/>
      </top>
      <bottom style="medium">
        <color theme="0" tint="-0.499984740745262"/>
      </bottom>
      <diagonal/>
    </border>
    <border>
      <left style="medium">
        <color theme="1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1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1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1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1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1"/>
      </left>
      <right/>
      <top style="thin">
        <color theme="0" tint="-0.499984740745262"/>
      </top>
      <bottom style="medium">
        <color theme="1"/>
      </bottom>
      <diagonal/>
    </border>
    <border>
      <left/>
      <right/>
      <top style="thin">
        <color theme="0" tint="-0.499984740745262"/>
      </top>
      <bottom style="medium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1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1"/>
      </bottom>
      <diagonal/>
    </border>
    <border>
      <left/>
      <right style="medium">
        <color theme="1"/>
      </right>
      <top style="thin">
        <color theme="0" tint="-0.499984740745262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5" fillId="0" borderId="17" xfId="0" applyFont="1" applyFill="1" applyBorder="1" applyAlignment="1" applyProtection="1">
      <alignment horizontal="center" vertical="center" shrinkToFit="1"/>
      <protection locked="0"/>
    </xf>
    <xf numFmtId="0" fontId="5" fillId="0" borderId="18" xfId="0" applyFont="1" applyFill="1" applyBorder="1" applyAlignment="1" applyProtection="1">
      <alignment horizontal="center" vertical="center" shrinkToFit="1"/>
      <protection locked="0"/>
    </xf>
    <xf numFmtId="0" fontId="5" fillId="0" borderId="24" xfId="0" applyFont="1" applyBorder="1" applyAlignment="1" applyProtection="1">
      <alignment horizontal="center" vertical="center" shrinkToFit="1"/>
      <protection locked="0"/>
    </xf>
    <xf numFmtId="0" fontId="5" fillId="0" borderId="25" xfId="0" applyFont="1" applyBorder="1" applyAlignment="1" applyProtection="1">
      <alignment horizontal="center" vertical="center" shrinkToFit="1"/>
      <protection locked="0"/>
    </xf>
    <xf numFmtId="0" fontId="2" fillId="0" borderId="32" xfId="0" applyFont="1" applyBorder="1" applyAlignment="1" applyProtection="1">
      <alignment horizontal="center" vertical="center" shrinkToFit="1"/>
      <protection locked="0"/>
    </xf>
    <xf numFmtId="0" fontId="2" fillId="0" borderId="14" xfId="0" applyFont="1" applyBorder="1" applyAlignment="1" applyProtection="1">
      <alignment horizontal="center" vertical="center" shrinkToFit="1"/>
      <protection locked="0"/>
    </xf>
    <xf numFmtId="1" fontId="2" fillId="0" borderId="32" xfId="0" applyNumberFormat="1" applyFont="1" applyBorder="1" applyAlignment="1" applyProtection="1">
      <alignment horizontal="center" vertical="center" shrinkToFit="1"/>
      <protection locked="0"/>
    </xf>
    <xf numFmtId="0" fontId="2" fillId="0" borderId="24" xfId="0" applyFont="1" applyBorder="1" applyAlignment="1" applyProtection="1">
      <alignment horizontal="center" vertical="center" shrinkToFit="1"/>
      <protection locked="0"/>
    </xf>
    <xf numFmtId="0" fontId="2" fillId="0" borderId="35" xfId="0" applyFont="1" applyBorder="1" applyAlignment="1" applyProtection="1">
      <alignment horizontal="center" vertical="center" shrinkToFit="1"/>
      <protection locked="0"/>
    </xf>
    <xf numFmtId="0" fontId="2" fillId="0" borderId="40" xfId="0" applyFont="1" applyBorder="1" applyAlignment="1" applyProtection="1">
      <alignment horizontal="center" vertical="center" shrinkToFit="1"/>
      <protection locked="0"/>
    </xf>
    <xf numFmtId="0" fontId="2" fillId="0" borderId="41" xfId="0" applyFont="1" applyBorder="1" applyAlignment="1" applyProtection="1">
      <alignment horizontal="center" vertical="center" shrinkToFit="1"/>
      <protection locked="0"/>
    </xf>
    <xf numFmtId="0" fontId="3" fillId="0" borderId="0" xfId="0" applyFont="1"/>
    <xf numFmtId="0" fontId="9" fillId="0" borderId="0" xfId="0" applyFont="1"/>
    <xf numFmtId="0" fontId="7" fillId="0" borderId="0" xfId="0" applyFont="1" applyAlignment="1">
      <alignment horizontal="center" wrapText="1"/>
    </xf>
    <xf numFmtId="9" fontId="0" fillId="0" borderId="19" xfId="1" applyFont="1" applyBorder="1" applyAlignment="1">
      <alignment horizontal="center" shrinkToFit="1"/>
    </xf>
    <xf numFmtId="9" fontId="0" fillId="0" borderId="20" xfId="1" applyFont="1" applyBorder="1" applyAlignment="1">
      <alignment horizontal="center" shrinkToFit="1"/>
    </xf>
    <xf numFmtId="0" fontId="3" fillId="0" borderId="21" xfId="0" applyFont="1" applyBorder="1" applyAlignment="1">
      <alignment horizontal="left" vertical="center" shrinkToFit="1"/>
    </xf>
    <xf numFmtId="0" fontId="3" fillId="0" borderId="22" xfId="0" applyFont="1" applyBorder="1" applyAlignment="1">
      <alignment horizontal="left" vertical="center" shrinkToFit="1"/>
    </xf>
    <xf numFmtId="0" fontId="3" fillId="0" borderId="23" xfId="0" applyFont="1" applyBorder="1" applyAlignment="1">
      <alignment horizontal="left" vertical="center" shrinkToFit="1"/>
    </xf>
    <xf numFmtId="9" fontId="0" fillId="0" borderId="26" xfId="1" applyFont="1" applyBorder="1" applyAlignment="1">
      <alignment horizontal="center" shrinkToFit="1"/>
    </xf>
    <xf numFmtId="9" fontId="0" fillId="0" borderId="27" xfId="1" applyFont="1" applyBorder="1" applyAlignment="1">
      <alignment horizontal="center"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10" xfId="0" applyFont="1" applyBorder="1" applyAlignment="1">
      <alignment horizontal="center" shrinkToFit="1"/>
    </xf>
    <xf numFmtId="0" fontId="10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4" fillId="0" borderId="51" xfId="0" applyFont="1" applyBorder="1" applyAlignment="1" applyProtection="1">
      <alignment horizontal="center"/>
      <protection locked="0"/>
    </xf>
    <xf numFmtId="0" fontId="4" fillId="0" borderId="52" xfId="0" applyFont="1" applyBorder="1" applyAlignment="1" applyProtection="1">
      <alignment horizontal="center"/>
      <protection locked="0"/>
    </xf>
    <xf numFmtId="0" fontId="4" fillId="0" borderId="53" xfId="0" applyFont="1" applyBorder="1" applyAlignment="1" applyProtection="1">
      <alignment horizontal="center"/>
      <protection locked="0"/>
    </xf>
    <xf numFmtId="0" fontId="6" fillId="0" borderId="47" xfId="0" applyFont="1" applyBorder="1" applyAlignment="1" applyProtection="1">
      <alignment horizontal="center"/>
      <protection locked="0"/>
    </xf>
    <xf numFmtId="0" fontId="6" fillId="0" borderId="47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31" xfId="0" applyFont="1" applyBorder="1" applyAlignment="1">
      <alignment horizontal="left" shrinkToFit="1"/>
    </xf>
    <xf numFmtId="0" fontId="3" fillId="0" borderId="15" xfId="0" applyFont="1" applyBorder="1" applyAlignment="1">
      <alignment horizontal="left" shrinkToFit="1"/>
    </xf>
    <xf numFmtId="0" fontId="3" fillId="0" borderId="16" xfId="0" applyFont="1" applyBorder="1" applyAlignment="1">
      <alignment horizontal="left" shrinkToFit="1"/>
    </xf>
    <xf numFmtId="9" fontId="0" fillId="0" borderId="33" xfId="1" applyFont="1" applyBorder="1" applyAlignment="1">
      <alignment horizontal="center" shrinkToFit="1"/>
    </xf>
    <xf numFmtId="9" fontId="0" fillId="0" borderId="34" xfId="1" applyFont="1" applyBorder="1" applyAlignment="1">
      <alignment horizontal="center" shrinkToFit="1"/>
    </xf>
    <xf numFmtId="0" fontId="2" fillId="2" borderId="1" xfId="0" applyFont="1" applyFill="1" applyBorder="1" applyAlignment="1">
      <alignment horizontal="center" shrinkToFit="1"/>
    </xf>
    <xf numFmtId="0" fontId="2" fillId="2" borderId="2" xfId="0" applyFont="1" applyFill="1" applyBorder="1" applyAlignment="1">
      <alignment horizontal="center" shrinkToFit="1"/>
    </xf>
    <xf numFmtId="0" fontId="2" fillId="2" borderId="3" xfId="0" applyFont="1" applyFill="1" applyBorder="1" applyAlignment="1">
      <alignment horizontal="center" shrinkToFit="1"/>
    </xf>
    <xf numFmtId="0" fontId="4" fillId="3" borderId="11" xfId="0" applyFont="1" applyFill="1" applyBorder="1" applyAlignment="1">
      <alignment horizontal="left" shrinkToFit="1"/>
    </xf>
    <xf numFmtId="0" fontId="4" fillId="3" borderId="12" xfId="0" applyFont="1" applyFill="1" applyBorder="1" applyAlignment="1">
      <alignment horizontal="left" shrinkToFit="1"/>
    </xf>
    <xf numFmtId="0" fontId="4" fillId="3" borderId="13" xfId="0" applyFont="1" applyFill="1" applyBorder="1" applyAlignment="1">
      <alignment horizontal="left" shrinkToFit="1"/>
    </xf>
    <xf numFmtId="0" fontId="4" fillId="3" borderId="28" xfId="0" applyFont="1" applyFill="1" applyBorder="1" applyAlignment="1">
      <alignment horizontal="left" shrinkToFit="1"/>
    </xf>
    <xf numFmtId="0" fontId="4" fillId="3" borderId="29" xfId="0" applyFont="1" applyFill="1" applyBorder="1" applyAlignment="1">
      <alignment horizontal="left" shrinkToFit="1"/>
    </xf>
    <xf numFmtId="0" fontId="4" fillId="3" borderId="30" xfId="0" applyFont="1" applyFill="1" applyBorder="1" applyAlignment="1">
      <alignment horizontal="left" shrinkToFit="1"/>
    </xf>
    <xf numFmtId="0" fontId="3" fillId="0" borderId="31" xfId="0" applyFont="1" applyBorder="1" applyAlignment="1">
      <alignment horizontal="left" vertical="center" shrinkToFit="1"/>
    </xf>
    <xf numFmtId="0" fontId="3" fillId="0" borderId="15" xfId="0" applyFont="1" applyBorder="1" applyAlignment="1">
      <alignment horizontal="left" vertical="center" shrinkToFit="1"/>
    </xf>
    <xf numFmtId="0" fontId="3" fillId="0" borderId="16" xfId="0" applyFont="1" applyBorder="1" applyAlignment="1">
      <alignment horizontal="left" vertical="center" shrinkToFit="1"/>
    </xf>
    <xf numFmtId="9" fontId="0" fillId="0" borderId="33" xfId="1" applyNumberFormat="1" applyFont="1" applyBorder="1" applyAlignment="1">
      <alignment horizontal="center" shrinkToFit="1"/>
    </xf>
    <xf numFmtId="9" fontId="0" fillId="0" borderId="34" xfId="1" applyNumberFormat="1" applyFont="1" applyBorder="1" applyAlignment="1">
      <alignment horizontal="center" shrinkToFit="1"/>
    </xf>
    <xf numFmtId="0" fontId="3" fillId="0" borderId="14" xfId="0" applyFont="1" applyBorder="1" applyAlignment="1">
      <alignment horizontal="left" vertical="center" shrinkToFit="1"/>
    </xf>
    <xf numFmtId="0" fontId="3" fillId="0" borderId="37" xfId="0" applyFont="1" applyBorder="1" applyAlignment="1">
      <alignment horizontal="left" shrinkToFit="1"/>
    </xf>
    <xf numFmtId="0" fontId="3" fillId="0" borderId="38" xfId="0" applyFont="1" applyBorder="1" applyAlignment="1">
      <alignment horizontal="left" shrinkToFit="1"/>
    </xf>
    <xf numFmtId="0" fontId="3" fillId="0" borderId="39" xfId="0" applyFont="1" applyBorder="1" applyAlignment="1">
      <alignment horizontal="left" shrinkToFit="1"/>
    </xf>
    <xf numFmtId="9" fontId="0" fillId="0" borderId="42" xfId="1" applyFont="1" applyBorder="1" applyAlignment="1">
      <alignment horizontal="center" shrinkToFit="1"/>
    </xf>
    <xf numFmtId="9" fontId="0" fillId="0" borderId="43" xfId="1" applyFont="1" applyBorder="1" applyAlignment="1">
      <alignment horizontal="center" shrinkToFit="1"/>
    </xf>
    <xf numFmtId="0" fontId="3" fillId="0" borderId="21" xfId="0" applyFont="1" applyBorder="1" applyAlignment="1">
      <alignment horizontal="left" shrinkToFit="1"/>
    </xf>
    <xf numFmtId="0" fontId="3" fillId="0" borderId="22" xfId="0" applyFont="1" applyBorder="1" applyAlignment="1">
      <alignment horizontal="left" shrinkToFit="1"/>
    </xf>
    <xf numFmtId="0" fontId="3" fillId="0" borderId="23" xfId="0" applyFont="1" applyBorder="1" applyAlignment="1">
      <alignment horizontal="left" shrinkToFit="1"/>
    </xf>
    <xf numFmtId="9" fontId="0" fillId="0" borderId="36" xfId="1" applyFont="1" applyBorder="1" applyAlignment="1">
      <alignment horizontal="center" shrinkToFit="1"/>
    </xf>
    <xf numFmtId="9" fontId="0" fillId="0" borderId="30" xfId="1" applyFont="1" applyBorder="1" applyAlignment="1">
      <alignment horizontal="center" shrinkToFit="1"/>
    </xf>
    <xf numFmtId="9" fontId="0" fillId="0" borderId="26" xfId="1" applyNumberFormat="1" applyFont="1" applyBorder="1" applyAlignment="1">
      <alignment horizontal="center" shrinkToFit="1"/>
    </xf>
    <xf numFmtId="9" fontId="0" fillId="0" borderId="36" xfId="1" applyNumberFormat="1" applyFont="1" applyBorder="1" applyAlignment="1">
      <alignment horizontal="center" shrinkToFi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6</xdr:row>
          <xdr:rowOff>7620</xdr:rowOff>
        </xdr:from>
        <xdr:to>
          <xdr:col>9</xdr:col>
          <xdr:colOff>38100</xdr:colOff>
          <xdr:row>6</xdr:row>
          <xdr:rowOff>182880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lúdiques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</xdr:colOff>
          <xdr:row>6</xdr:row>
          <xdr:rowOff>7620</xdr:rowOff>
        </xdr:from>
        <xdr:to>
          <xdr:col>11</xdr:col>
          <xdr:colOff>144780</xdr:colOff>
          <xdr:row>6</xdr:row>
          <xdr:rowOff>182880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racó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7</xdr:row>
          <xdr:rowOff>7620</xdr:rowOff>
        </xdr:from>
        <xdr:to>
          <xdr:col>9</xdr:col>
          <xdr:colOff>68580</xdr:colOff>
          <xdr:row>7</xdr:row>
          <xdr:rowOff>182880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</xdr:colOff>
          <xdr:row>7</xdr:row>
          <xdr:rowOff>7620</xdr:rowOff>
        </xdr:from>
        <xdr:to>
          <xdr:col>11</xdr:col>
          <xdr:colOff>144780</xdr:colOff>
          <xdr:row>8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286596</xdr:colOff>
      <xdr:row>0</xdr:row>
      <xdr:rowOff>68405</xdr:rowOff>
    </xdr:from>
    <xdr:to>
      <xdr:col>17</xdr:col>
      <xdr:colOff>190500</xdr:colOff>
      <xdr:row>0</xdr:row>
      <xdr:rowOff>724075</xdr:rowOff>
    </xdr:to>
    <xdr:grpSp>
      <xdr:nvGrpSpPr>
        <xdr:cNvPr id="9" name="Grupo 8"/>
        <xdr:cNvGrpSpPr/>
      </xdr:nvGrpSpPr>
      <xdr:grpSpPr>
        <a:xfrm>
          <a:off x="3989916" y="68405"/>
          <a:ext cx="1305984" cy="655670"/>
          <a:chOff x="6189133" y="169334"/>
          <a:chExt cx="2580216" cy="1295399"/>
        </a:xfrm>
      </xdr:grpSpPr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2" name="Imagen 11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Imagen 12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114300</xdr:colOff>
      <xdr:row>0</xdr:row>
      <xdr:rowOff>30479</xdr:rowOff>
    </xdr:from>
    <xdr:to>
      <xdr:col>3</xdr:col>
      <xdr:colOff>142012</xdr:colOff>
      <xdr:row>0</xdr:row>
      <xdr:rowOff>777616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0479"/>
          <a:ext cx="1056412" cy="747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4"/>
  <sheetViews>
    <sheetView tabSelected="1" view="pageLayout" zoomScaleNormal="100" workbookViewId="0">
      <selection activeCell="U7" sqref="U7"/>
    </sheetView>
  </sheetViews>
  <sheetFormatPr baseColWidth="10" defaultRowHeight="13.8" x14ac:dyDescent="0.25"/>
  <cols>
    <col min="1" max="7" width="4.3984375" customWidth="1"/>
    <col min="8" max="8" width="3.19921875" customWidth="1"/>
    <col min="9" max="9" width="3.59765625" customWidth="1"/>
    <col min="10" max="10" width="3.19921875" customWidth="1"/>
    <col min="11" max="11" width="3.5" customWidth="1"/>
    <col min="12" max="12" width="3.09765625" customWidth="1"/>
    <col min="13" max="13" width="3.8984375" customWidth="1"/>
    <col min="14" max="16" width="3.19921875" customWidth="1"/>
    <col min="17" max="18" width="4.3984375" customWidth="1"/>
  </cols>
  <sheetData>
    <row r="1" spans="1:18" ht="64.95" customHeight="1" x14ac:dyDescent="0.25">
      <c r="A1" s="16" t="s">
        <v>46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4.4" thickBot="1" x14ac:dyDescent="0.3"/>
    <row r="3" spans="1:18" ht="18.600000000000001" thickBot="1" x14ac:dyDescent="0.4">
      <c r="E3" s="29" t="s">
        <v>45</v>
      </c>
      <c r="F3" s="29"/>
      <c r="G3" s="29"/>
      <c r="H3" s="29"/>
      <c r="I3" s="29"/>
      <c r="J3" s="29"/>
      <c r="K3" s="29"/>
      <c r="L3" s="29"/>
      <c r="M3" s="29"/>
    </row>
    <row r="4" spans="1:18" ht="14.4" thickBot="1" x14ac:dyDescent="0.3"/>
    <row r="5" spans="1:18" ht="15" thickBot="1" x14ac:dyDescent="0.35">
      <c r="C5" s="40" t="s">
        <v>35</v>
      </c>
      <c r="D5" s="40"/>
      <c r="E5" s="40"/>
      <c r="F5" s="40"/>
      <c r="G5" s="30"/>
      <c r="H5" s="31"/>
      <c r="I5" s="31"/>
      <c r="J5" s="31"/>
      <c r="K5" s="31"/>
      <c r="L5" s="31"/>
      <c r="M5" s="31"/>
      <c r="N5" s="31"/>
      <c r="O5" s="32"/>
    </row>
    <row r="6" spans="1:18" ht="15" thickBot="1" x14ac:dyDescent="0.35">
      <c r="C6" s="40" t="s">
        <v>36</v>
      </c>
      <c r="D6" s="40"/>
      <c r="E6" s="40"/>
      <c r="F6" s="40"/>
      <c r="G6" s="33"/>
      <c r="H6" s="34"/>
      <c r="I6" s="34"/>
      <c r="J6" s="34"/>
      <c r="K6" s="34"/>
      <c r="L6" s="34"/>
      <c r="M6" s="34"/>
      <c r="N6" s="34"/>
      <c r="O6" s="35"/>
    </row>
    <row r="7" spans="1:18" ht="15" thickBot="1" x14ac:dyDescent="0.35">
      <c r="C7" s="40" t="s">
        <v>37</v>
      </c>
      <c r="D7" s="40"/>
      <c r="E7" s="40"/>
      <c r="F7" s="40"/>
      <c r="G7" s="36"/>
      <c r="H7" s="37"/>
      <c r="I7" s="37"/>
      <c r="J7" s="37"/>
      <c r="K7" s="37"/>
      <c r="L7" s="37"/>
      <c r="M7" s="37"/>
      <c r="N7" s="37"/>
      <c r="O7" s="38"/>
    </row>
    <row r="8" spans="1:18" ht="15" thickBot="1" x14ac:dyDescent="0.35">
      <c r="C8" s="40" t="s">
        <v>38</v>
      </c>
      <c r="D8" s="40"/>
      <c r="E8" s="40"/>
      <c r="F8" s="40"/>
      <c r="G8" s="39"/>
      <c r="H8" s="39"/>
      <c r="I8" s="39"/>
      <c r="J8" s="39"/>
      <c r="K8" s="39"/>
      <c r="L8" s="39"/>
      <c r="M8" s="39"/>
      <c r="N8" s="39"/>
      <c r="O8" s="39"/>
    </row>
    <row r="10" spans="1:18" ht="14.4" thickBot="1" x14ac:dyDescent="0.3"/>
    <row r="11" spans="1:18" ht="15" thickBot="1" x14ac:dyDescent="0.35">
      <c r="C11" s="40" t="s">
        <v>39</v>
      </c>
      <c r="D11" s="40"/>
      <c r="E11" s="40"/>
      <c r="F11" s="40"/>
      <c r="G11" s="41"/>
      <c r="H11" s="41"/>
      <c r="I11" s="41"/>
      <c r="J11" s="41"/>
      <c r="K11" s="41"/>
      <c r="L11" s="41"/>
      <c r="M11" s="41"/>
      <c r="N11" s="41"/>
      <c r="O11" s="41"/>
    </row>
    <row r="12" spans="1:18" ht="15" thickBot="1" x14ac:dyDescent="0.35">
      <c r="C12" s="40" t="s">
        <v>40</v>
      </c>
      <c r="D12" s="40"/>
      <c r="E12" s="40"/>
      <c r="F12" s="40"/>
      <c r="G12" s="41"/>
      <c r="H12" s="41"/>
      <c r="I12" s="41"/>
      <c r="J12" s="41"/>
      <c r="K12" s="41"/>
      <c r="L12" s="41"/>
      <c r="M12" s="41"/>
      <c r="N12" s="41"/>
      <c r="O12" s="41"/>
    </row>
    <row r="13" spans="1:18" ht="15" thickBot="1" x14ac:dyDescent="0.35">
      <c r="C13" s="40" t="s">
        <v>41</v>
      </c>
      <c r="D13" s="40"/>
      <c r="E13" s="40"/>
      <c r="F13" s="40"/>
      <c r="G13" s="41"/>
      <c r="H13" s="41"/>
      <c r="I13" s="41"/>
      <c r="J13" s="41"/>
      <c r="K13" s="41"/>
      <c r="L13" s="41"/>
      <c r="M13" s="41"/>
      <c r="N13" s="41"/>
      <c r="O13" s="41"/>
    </row>
    <row r="15" spans="1:18" ht="14.4" thickBot="1" x14ac:dyDescent="0.3"/>
    <row r="16" spans="1:18" ht="15" thickBot="1" x14ac:dyDescent="0.35">
      <c r="A16" s="47" t="s">
        <v>0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9"/>
    </row>
    <row r="17" spans="1:18" ht="14.4" thickBot="1" x14ac:dyDescent="0.3">
      <c r="A17" s="24"/>
      <c r="B17" s="25"/>
      <c r="C17" s="25"/>
      <c r="D17" s="25"/>
      <c r="E17" s="25"/>
      <c r="F17" s="25"/>
      <c r="G17" s="26"/>
      <c r="H17" s="1" t="s">
        <v>1</v>
      </c>
      <c r="I17" s="1" t="s">
        <v>2</v>
      </c>
      <c r="J17" s="1" t="s">
        <v>3</v>
      </c>
      <c r="K17" s="1" t="s">
        <v>4</v>
      </c>
      <c r="L17" s="1" t="s">
        <v>5</v>
      </c>
      <c r="M17" s="1" t="s">
        <v>6</v>
      </c>
      <c r="N17" s="1" t="s">
        <v>7</v>
      </c>
      <c r="O17" s="1" t="s">
        <v>8</v>
      </c>
      <c r="P17" s="2" t="s">
        <v>9</v>
      </c>
      <c r="Q17" s="27" t="s">
        <v>10</v>
      </c>
      <c r="R17" s="28"/>
    </row>
    <row r="18" spans="1:18" ht="15" thickBot="1" x14ac:dyDescent="0.35">
      <c r="A18" s="50" t="s">
        <v>11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2"/>
    </row>
    <row r="19" spans="1:18" x14ac:dyDescent="0.25">
      <c r="A19" s="61" t="s">
        <v>12</v>
      </c>
      <c r="B19" s="57"/>
      <c r="C19" s="57"/>
      <c r="D19" s="57"/>
      <c r="E19" s="57"/>
      <c r="F19" s="57"/>
      <c r="G19" s="58"/>
      <c r="H19" s="3"/>
      <c r="I19" s="3"/>
      <c r="J19" s="3"/>
      <c r="K19" s="3"/>
      <c r="L19" s="3"/>
      <c r="M19" s="3"/>
      <c r="N19" s="3"/>
      <c r="O19" s="3"/>
      <c r="P19" s="4"/>
      <c r="Q19" s="17">
        <f>SUM(H19:P19)/9*0.01</f>
        <v>0</v>
      </c>
      <c r="R19" s="18"/>
    </row>
    <row r="20" spans="1:18" ht="14.4" thickBot="1" x14ac:dyDescent="0.3">
      <c r="A20" s="19" t="s">
        <v>13</v>
      </c>
      <c r="B20" s="20"/>
      <c r="C20" s="20"/>
      <c r="D20" s="20"/>
      <c r="E20" s="20"/>
      <c r="F20" s="20"/>
      <c r="G20" s="21"/>
      <c r="H20" s="5"/>
      <c r="I20" s="5"/>
      <c r="J20" s="5"/>
      <c r="K20" s="5"/>
      <c r="L20" s="5"/>
      <c r="M20" s="5"/>
      <c r="N20" s="5"/>
      <c r="O20" s="5"/>
      <c r="P20" s="6"/>
      <c r="Q20" s="22">
        <f>SUM(H20:P20)/9*0.01</f>
        <v>0</v>
      </c>
      <c r="R20" s="23"/>
    </row>
    <row r="21" spans="1:18" ht="14.4" x14ac:dyDescent="0.3">
      <c r="A21" s="53" t="s">
        <v>14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5"/>
    </row>
    <row r="22" spans="1:18" ht="14.4" x14ac:dyDescent="0.25">
      <c r="A22" s="56" t="s">
        <v>15</v>
      </c>
      <c r="B22" s="57"/>
      <c r="C22" s="57"/>
      <c r="D22" s="57"/>
      <c r="E22" s="57"/>
      <c r="F22" s="57"/>
      <c r="G22" s="58"/>
      <c r="H22" s="7"/>
      <c r="I22" s="7"/>
      <c r="J22" s="7"/>
      <c r="K22" s="7"/>
      <c r="L22" s="7"/>
      <c r="M22" s="7"/>
      <c r="N22" s="7"/>
      <c r="O22" s="7"/>
      <c r="P22" s="8"/>
      <c r="Q22" s="59">
        <f>((SUM(H22:P22)/9)/400)*100</f>
        <v>0</v>
      </c>
      <c r="R22" s="60"/>
    </row>
    <row r="23" spans="1:18" ht="14.4" x14ac:dyDescent="0.25">
      <c r="A23" s="56" t="s">
        <v>16</v>
      </c>
      <c r="B23" s="57"/>
      <c r="C23" s="57"/>
      <c r="D23" s="57"/>
      <c r="E23" s="57"/>
      <c r="F23" s="57"/>
      <c r="G23" s="58"/>
      <c r="H23" s="7"/>
      <c r="I23" s="7"/>
      <c r="J23" s="7"/>
      <c r="K23" s="7"/>
      <c r="L23" s="7"/>
      <c r="M23" s="7"/>
      <c r="N23" s="7"/>
      <c r="O23" s="7"/>
      <c r="P23" s="8"/>
      <c r="Q23" s="59">
        <f t="shared" ref="Q23:Q26" si="0">((SUM(H23:P23)/9)/400)*100</f>
        <v>0</v>
      </c>
      <c r="R23" s="60"/>
    </row>
    <row r="24" spans="1:18" ht="14.4" x14ac:dyDescent="0.25">
      <c r="A24" s="56" t="s">
        <v>17</v>
      </c>
      <c r="B24" s="57"/>
      <c r="C24" s="57"/>
      <c r="D24" s="57"/>
      <c r="E24" s="57"/>
      <c r="F24" s="57"/>
      <c r="G24" s="58"/>
      <c r="H24" s="7"/>
      <c r="I24" s="7"/>
      <c r="J24" s="7"/>
      <c r="K24" s="7"/>
      <c r="L24" s="7"/>
      <c r="M24" s="7"/>
      <c r="N24" s="7"/>
      <c r="O24" s="7"/>
      <c r="P24" s="8"/>
      <c r="Q24" s="59">
        <f t="shared" si="0"/>
        <v>0</v>
      </c>
      <c r="R24" s="60"/>
    </row>
    <row r="25" spans="1:18" ht="14.4" x14ac:dyDescent="0.25">
      <c r="A25" s="56" t="s">
        <v>18</v>
      </c>
      <c r="B25" s="57"/>
      <c r="C25" s="57"/>
      <c r="D25" s="57"/>
      <c r="E25" s="57"/>
      <c r="F25" s="57"/>
      <c r="G25" s="58"/>
      <c r="H25" s="7"/>
      <c r="I25" s="7"/>
      <c r="J25" s="7"/>
      <c r="K25" s="9"/>
      <c r="L25" s="7"/>
      <c r="M25" s="7"/>
      <c r="N25" s="7"/>
      <c r="O25" s="7"/>
      <c r="P25" s="8"/>
      <c r="Q25" s="59">
        <f t="shared" si="0"/>
        <v>0</v>
      </c>
      <c r="R25" s="60"/>
    </row>
    <row r="26" spans="1:18" ht="15" thickBot="1" x14ac:dyDescent="0.3">
      <c r="A26" s="19" t="s">
        <v>19</v>
      </c>
      <c r="B26" s="20"/>
      <c r="C26" s="20"/>
      <c r="D26" s="20"/>
      <c r="E26" s="20"/>
      <c r="F26" s="20"/>
      <c r="G26" s="21"/>
      <c r="H26" s="10"/>
      <c r="I26" s="10"/>
      <c r="J26" s="10"/>
      <c r="K26" s="10"/>
      <c r="L26" s="10"/>
      <c r="M26" s="10"/>
      <c r="N26" s="10"/>
      <c r="O26" s="10"/>
      <c r="P26" s="11"/>
      <c r="Q26" s="72">
        <f t="shared" si="0"/>
        <v>0</v>
      </c>
      <c r="R26" s="73"/>
    </row>
    <row r="27" spans="1:18" ht="14.4" x14ac:dyDescent="0.3">
      <c r="A27" s="53" t="s">
        <v>20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5"/>
    </row>
    <row r="28" spans="1:18" ht="14.4" x14ac:dyDescent="0.25">
      <c r="A28" s="42" t="s">
        <v>21</v>
      </c>
      <c r="B28" s="43"/>
      <c r="C28" s="43"/>
      <c r="D28" s="43"/>
      <c r="E28" s="43"/>
      <c r="F28" s="43"/>
      <c r="G28" s="44"/>
      <c r="H28" s="7"/>
      <c r="I28" s="7"/>
      <c r="J28" s="7"/>
      <c r="K28" s="7"/>
      <c r="L28" s="7"/>
      <c r="M28" s="7"/>
      <c r="N28" s="7"/>
      <c r="O28" s="7"/>
      <c r="P28" s="8"/>
      <c r="Q28" s="45">
        <f>((SUM(H28:P28)/9)/400)*100</f>
        <v>0</v>
      </c>
      <c r="R28" s="46"/>
    </row>
    <row r="29" spans="1:18" ht="14.4" x14ac:dyDescent="0.25">
      <c r="A29" s="42" t="s">
        <v>22</v>
      </c>
      <c r="B29" s="43"/>
      <c r="C29" s="43"/>
      <c r="D29" s="43"/>
      <c r="E29" s="43"/>
      <c r="F29" s="43"/>
      <c r="G29" s="44"/>
      <c r="H29" s="7"/>
      <c r="I29" s="7"/>
      <c r="J29" s="7"/>
      <c r="K29" s="7"/>
      <c r="L29" s="7"/>
      <c r="M29" s="7"/>
      <c r="N29" s="7"/>
      <c r="O29" s="7"/>
      <c r="P29" s="8"/>
      <c r="Q29" s="45">
        <f t="shared" ref="Q29:Q33" si="1">((SUM(H29:P29)/9)/400)*100</f>
        <v>0</v>
      </c>
      <c r="R29" s="46"/>
    </row>
    <row r="30" spans="1:18" ht="14.4" x14ac:dyDescent="0.25">
      <c r="A30" s="42" t="s">
        <v>23</v>
      </c>
      <c r="B30" s="43"/>
      <c r="C30" s="43"/>
      <c r="D30" s="43"/>
      <c r="E30" s="43"/>
      <c r="F30" s="43"/>
      <c r="G30" s="44"/>
      <c r="H30" s="7"/>
      <c r="I30" s="7"/>
      <c r="J30" s="7"/>
      <c r="K30" s="7"/>
      <c r="L30" s="7"/>
      <c r="M30" s="7"/>
      <c r="N30" s="7"/>
      <c r="O30" s="7"/>
      <c r="P30" s="8"/>
      <c r="Q30" s="45">
        <f t="shared" si="1"/>
        <v>0</v>
      </c>
      <c r="R30" s="46"/>
    </row>
    <row r="31" spans="1:18" ht="14.4" x14ac:dyDescent="0.25">
      <c r="A31" s="42" t="s">
        <v>24</v>
      </c>
      <c r="B31" s="43"/>
      <c r="C31" s="43"/>
      <c r="D31" s="43"/>
      <c r="E31" s="43"/>
      <c r="F31" s="43"/>
      <c r="G31" s="44"/>
      <c r="H31" s="7"/>
      <c r="I31" s="7"/>
      <c r="J31" s="7"/>
      <c r="K31" s="7"/>
      <c r="L31" s="7"/>
      <c r="M31" s="7"/>
      <c r="N31" s="7"/>
      <c r="O31" s="7"/>
      <c r="P31" s="8"/>
      <c r="Q31" s="45">
        <f t="shared" si="1"/>
        <v>0</v>
      </c>
      <c r="R31" s="46"/>
    </row>
    <row r="32" spans="1:18" ht="14.4" x14ac:dyDescent="0.25">
      <c r="A32" s="42" t="s">
        <v>25</v>
      </c>
      <c r="B32" s="43"/>
      <c r="C32" s="43"/>
      <c r="D32" s="43"/>
      <c r="E32" s="43"/>
      <c r="F32" s="43"/>
      <c r="G32" s="44"/>
      <c r="H32" s="7"/>
      <c r="I32" s="7"/>
      <c r="J32" s="7"/>
      <c r="K32" s="7"/>
      <c r="L32" s="7"/>
      <c r="M32" s="7"/>
      <c r="N32" s="7"/>
      <c r="O32" s="7"/>
      <c r="P32" s="8"/>
      <c r="Q32" s="45">
        <f t="shared" si="1"/>
        <v>0</v>
      </c>
      <c r="R32" s="46"/>
    </row>
    <row r="33" spans="1:18" ht="15" thickBot="1" x14ac:dyDescent="0.3">
      <c r="A33" s="67" t="s">
        <v>26</v>
      </c>
      <c r="B33" s="68"/>
      <c r="C33" s="68"/>
      <c r="D33" s="68"/>
      <c r="E33" s="68"/>
      <c r="F33" s="68"/>
      <c r="G33" s="69"/>
      <c r="H33" s="10"/>
      <c r="I33" s="10"/>
      <c r="J33" s="10"/>
      <c r="K33" s="10"/>
      <c r="L33" s="10"/>
      <c r="M33" s="10"/>
      <c r="N33" s="10"/>
      <c r="O33" s="10"/>
      <c r="P33" s="11"/>
      <c r="Q33" s="22">
        <f t="shared" si="1"/>
        <v>0</v>
      </c>
      <c r="R33" s="70"/>
    </row>
    <row r="34" spans="1:18" ht="14.4" x14ac:dyDescent="0.3">
      <c r="A34" s="53" t="s">
        <v>27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5"/>
    </row>
    <row r="35" spans="1:18" ht="14.4" x14ac:dyDescent="0.25">
      <c r="A35" s="42" t="s">
        <v>28</v>
      </c>
      <c r="B35" s="43"/>
      <c r="C35" s="43"/>
      <c r="D35" s="43"/>
      <c r="E35" s="43"/>
      <c r="F35" s="43"/>
      <c r="G35" s="44"/>
      <c r="H35" s="7"/>
      <c r="I35" s="7"/>
      <c r="J35" s="7"/>
      <c r="K35" s="7"/>
      <c r="L35" s="7"/>
      <c r="M35" s="7"/>
      <c r="N35" s="7"/>
      <c r="O35" s="7"/>
      <c r="P35" s="8"/>
      <c r="Q35" s="45">
        <f>((SUM(H35:P35)/9)/400)*100</f>
        <v>0</v>
      </c>
      <c r="R35" s="46"/>
    </row>
    <row r="36" spans="1:18" ht="14.4" x14ac:dyDescent="0.25">
      <c r="A36" s="42" t="s">
        <v>29</v>
      </c>
      <c r="B36" s="43"/>
      <c r="C36" s="43"/>
      <c r="D36" s="43"/>
      <c r="E36" s="43"/>
      <c r="F36" s="43"/>
      <c r="G36" s="44"/>
      <c r="H36" s="7"/>
      <c r="I36" s="7"/>
      <c r="J36" s="7"/>
      <c r="K36" s="7"/>
      <c r="L36" s="7"/>
      <c r="M36" s="7"/>
      <c r="N36" s="7"/>
      <c r="O36" s="7"/>
      <c r="P36" s="8"/>
      <c r="Q36" s="45">
        <f>((SUM(H36:P36)/9)/400)*100</f>
        <v>0</v>
      </c>
      <c r="R36" s="46"/>
    </row>
    <row r="37" spans="1:18" ht="15" thickBot="1" x14ac:dyDescent="0.3">
      <c r="A37" s="67" t="s">
        <v>30</v>
      </c>
      <c r="B37" s="68"/>
      <c r="C37" s="68"/>
      <c r="D37" s="68"/>
      <c r="E37" s="68"/>
      <c r="F37" s="68"/>
      <c r="G37" s="69"/>
      <c r="H37" s="10"/>
      <c r="I37" s="10"/>
      <c r="J37" s="10"/>
      <c r="K37" s="10"/>
      <c r="L37" s="10"/>
      <c r="M37" s="10"/>
      <c r="N37" s="10"/>
      <c r="O37" s="10"/>
      <c r="P37" s="11"/>
      <c r="Q37" s="22">
        <f>((SUM(H37:P37)/9)/400)*100</f>
        <v>0</v>
      </c>
      <c r="R37" s="70"/>
    </row>
    <row r="38" spans="1:18" ht="15" thickBot="1" x14ac:dyDescent="0.35">
      <c r="A38" s="50" t="s">
        <v>31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2"/>
    </row>
    <row r="39" spans="1:18" ht="14.4" x14ac:dyDescent="0.25">
      <c r="A39" s="42" t="s">
        <v>32</v>
      </c>
      <c r="B39" s="43"/>
      <c r="C39" s="43"/>
      <c r="D39" s="43"/>
      <c r="E39" s="43"/>
      <c r="F39" s="43"/>
      <c r="G39" s="44"/>
      <c r="H39" s="7"/>
      <c r="I39" s="7"/>
      <c r="J39" s="7"/>
      <c r="K39" s="7"/>
      <c r="L39" s="7"/>
      <c r="M39" s="7"/>
      <c r="N39" s="7"/>
      <c r="O39" s="7"/>
      <c r="P39" s="8"/>
      <c r="Q39" s="17">
        <f>SUM(H39:P39)/9</f>
        <v>0</v>
      </c>
      <c r="R39" s="71"/>
    </row>
    <row r="40" spans="1:18" ht="15" thickBot="1" x14ac:dyDescent="0.3">
      <c r="A40" s="62" t="s">
        <v>33</v>
      </c>
      <c r="B40" s="63"/>
      <c r="C40" s="63"/>
      <c r="D40" s="63"/>
      <c r="E40" s="63"/>
      <c r="F40" s="63"/>
      <c r="G40" s="64"/>
      <c r="H40" s="12"/>
      <c r="I40" s="12"/>
      <c r="J40" s="12"/>
      <c r="K40" s="12"/>
      <c r="L40" s="12"/>
      <c r="M40" s="12"/>
      <c r="N40" s="12"/>
      <c r="O40" s="12"/>
      <c r="P40" s="13"/>
      <c r="Q40" s="65">
        <f>SUM(H40:P40)/9</f>
        <v>0</v>
      </c>
      <c r="R40" s="66"/>
    </row>
    <row r="41" spans="1:18" x14ac:dyDescent="0.25">
      <c r="B41" s="14" t="s">
        <v>34</v>
      </c>
    </row>
    <row r="44" spans="1:18" ht="15.6" x14ac:dyDescent="0.3">
      <c r="B44" s="15" t="s">
        <v>42</v>
      </c>
      <c r="C44" s="15"/>
      <c r="D44" s="15"/>
      <c r="E44" s="15"/>
      <c r="F44" s="15"/>
      <c r="G44" s="15" t="s">
        <v>43</v>
      </c>
      <c r="H44" s="15"/>
      <c r="I44" s="15"/>
      <c r="J44" s="15"/>
      <c r="K44" s="15"/>
      <c r="L44" s="15"/>
      <c r="M44" s="15" t="s">
        <v>44</v>
      </c>
    </row>
  </sheetData>
  <mergeCells count="60">
    <mergeCell ref="G13:O13"/>
    <mergeCell ref="C11:F11"/>
    <mergeCell ref="C12:F12"/>
    <mergeCell ref="C13:F13"/>
    <mergeCell ref="G11:O11"/>
    <mergeCell ref="A26:G26"/>
    <mergeCell ref="Q26:R26"/>
    <mergeCell ref="A27:R27"/>
    <mergeCell ref="A29:G29"/>
    <mergeCell ref="Q29:R29"/>
    <mergeCell ref="A31:G31"/>
    <mergeCell ref="Q31:R31"/>
    <mergeCell ref="A32:G32"/>
    <mergeCell ref="Q32:R32"/>
    <mergeCell ref="A33:G33"/>
    <mergeCell ref="Q33:R33"/>
    <mergeCell ref="A40:G40"/>
    <mergeCell ref="Q40:R40"/>
    <mergeCell ref="A34:R34"/>
    <mergeCell ref="A35:G35"/>
    <mergeCell ref="Q35:R35"/>
    <mergeCell ref="A36:G36"/>
    <mergeCell ref="Q36:R36"/>
    <mergeCell ref="A37:G37"/>
    <mergeCell ref="Q37:R37"/>
    <mergeCell ref="A38:R38"/>
    <mergeCell ref="A39:G39"/>
    <mergeCell ref="Q39:R39"/>
    <mergeCell ref="A30:G30"/>
    <mergeCell ref="Q30:R30"/>
    <mergeCell ref="A16:R16"/>
    <mergeCell ref="A18:R18"/>
    <mergeCell ref="A21:R21"/>
    <mergeCell ref="A22:G22"/>
    <mergeCell ref="Q22:R22"/>
    <mergeCell ref="A28:G28"/>
    <mergeCell ref="Q28:R28"/>
    <mergeCell ref="A23:G23"/>
    <mergeCell ref="Q23:R23"/>
    <mergeCell ref="A24:G24"/>
    <mergeCell ref="Q24:R24"/>
    <mergeCell ref="A25:G25"/>
    <mergeCell ref="Q25:R25"/>
    <mergeCell ref="A19:G19"/>
    <mergeCell ref="A1:R1"/>
    <mergeCell ref="Q19:R19"/>
    <mergeCell ref="A20:G20"/>
    <mergeCell ref="Q20:R20"/>
    <mergeCell ref="A17:G17"/>
    <mergeCell ref="Q17:R17"/>
    <mergeCell ref="E3:M3"/>
    <mergeCell ref="G5:O5"/>
    <mergeCell ref="G6:O6"/>
    <mergeCell ref="G7:O7"/>
    <mergeCell ref="G8:O8"/>
    <mergeCell ref="C5:F5"/>
    <mergeCell ref="C6:F6"/>
    <mergeCell ref="C7:F7"/>
    <mergeCell ref="C8:F8"/>
    <mergeCell ref="G12:O12"/>
  </mergeCells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6</xdr:col>
                    <xdr:colOff>45720</xdr:colOff>
                    <xdr:row>6</xdr:row>
                    <xdr:rowOff>7620</xdr:rowOff>
                  </from>
                  <to>
                    <xdr:col>9</xdr:col>
                    <xdr:colOff>38100</xdr:colOff>
                    <xdr:row>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8</xdr:col>
                    <xdr:colOff>68580</xdr:colOff>
                    <xdr:row>6</xdr:row>
                    <xdr:rowOff>7620</xdr:rowOff>
                  </from>
                  <to>
                    <xdr:col>11</xdr:col>
                    <xdr:colOff>144780</xdr:colOff>
                    <xdr:row>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6</xdr:col>
                    <xdr:colOff>45720</xdr:colOff>
                    <xdr:row>7</xdr:row>
                    <xdr:rowOff>7620</xdr:rowOff>
                  </from>
                  <to>
                    <xdr:col>9</xdr:col>
                    <xdr:colOff>68580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8</xdr:col>
                    <xdr:colOff>68580</xdr:colOff>
                    <xdr:row>7</xdr:row>
                    <xdr:rowOff>7620</xdr:rowOff>
                  </from>
                  <to>
                    <xdr:col>11</xdr:col>
                    <xdr:colOff>144780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Doussou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Educadors</dc:creator>
  <cp:lastModifiedBy>Victoria Perez Castro</cp:lastModifiedBy>
  <dcterms:created xsi:type="dcterms:W3CDTF">2023-09-25T10:45:30Z</dcterms:created>
  <dcterms:modified xsi:type="dcterms:W3CDTF">2026-03-10T12:07:05Z</dcterms:modified>
</cp:coreProperties>
</file>