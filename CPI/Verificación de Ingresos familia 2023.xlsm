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workbookProtection workbookAlgorithmName="SHA-512" workbookHashValue="hNdFbH3BzyhmI9cwc6D89COB3JnDEPSIS2oce4Eg2xaNWf/7uKghhd8x1liXwMA8ySxFLlOsijzqMMQYKUH/Bw==" workbookSaltValue="lYdVJWUdaBphjBDPcWE/ug==" workbookSpinCount="100000" lockStructure="1"/>
  <bookViews>
    <workbookView showSheetTabs="0" windowWidth="23040" windowHeight="8675"/>
  </bookViews>
  <sheets>
    <sheet name="Verificacion_Ingresos" sheetId="1" r:id="rId1"/>
    <sheet name="Indicaciones" sheetId="3" r:id="rId2"/>
    <sheet name="IPREM_CCAA" sheetId="2" state="hidden" r:id="rId3"/>
  </sheets>
  <calcPr calcId="191029"/>
  <customWorkbookViews>
    <customWorkbookView name="Verif" guid="{BB5EEF31-97A7-4C43-B3B9-77F8C4FAC9AF}" maximized="1" xWindow="-9" yWindow="-9" windowWidth="1618" windowHeight="918" activeSheetId="1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<sst xmlns="http://schemas.openxmlformats.org/spreadsheetml/2006/main" count="108" uniqueCount="104">
  <si>
    <t>Balears, Illes</t>
  </si>
  <si>
    <t>Cumple los requisitos económicos de CaixaProinfancia</t>
  </si>
  <si>
    <t>NO cumple los requisitos económicos de CaixaProinfancia</t>
  </si>
  <si>
    <t>Resultado</t>
  </si>
  <si>
    <t>Unidad Familiar</t>
  </si>
  <si>
    <t>Puntos</t>
  </si>
  <si>
    <t>Ingresos brutos anuales de la unidad familiar</t>
  </si>
  <si>
    <t>Número de adultos</t>
  </si>
  <si>
    <t>Todas las fuentes de ingreso de la familia</t>
  </si>
  <si>
    <t>Número de menores</t>
  </si>
  <si>
    <t>Trabajador/a por cuenta ajena</t>
  </si>
  <si>
    <t>¿Es monoparental?</t>
  </si>
  <si>
    <t>Nóminas: Total devengado</t>
  </si>
  <si>
    <t>Nº de pagas</t>
  </si>
  <si>
    <t>Nº personas con discapacidad</t>
  </si>
  <si>
    <t xml:space="preserve">Límite de ingresos anuales: </t>
  </si>
  <si>
    <t>Trabajador/a por cuenta propia (autónoma/o)</t>
  </si>
  <si>
    <t>Total ingresos anuales:</t>
  </si>
  <si>
    <t>Declaración trimestral de retenciones e ingresos a cuenta</t>
  </si>
  <si>
    <t>Total anual</t>
  </si>
  <si>
    <t>Utilizad solo las casillas como esta:</t>
  </si>
  <si>
    <t>Declaración de la Renta anual</t>
  </si>
  <si>
    <t>o, si es necesario, casillas como esta:</t>
  </si>
  <si>
    <t>Rendimiento de trabajo-Retribuciones dinerarias</t>
  </si>
  <si>
    <t>Cumplimentad los datos de toda la unidad familiar</t>
  </si>
  <si>
    <r>
      <rPr>
        <i/>
        <sz val="11"/>
        <rFont val="Calibri"/>
        <charset val="134"/>
        <scheme val="minor"/>
      </rPr>
      <t>Prestación por desempleo u otras prestaciones públicas</t>
    </r>
    <r>
      <rPr>
        <i/>
        <sz val="9"/>
        <rFont val="Calibri"/>
        <charset val="134"/>
      </rPr>
      <t xml:space="preserve"> (Importe íntegro anual)</t>
    </r>
  </si>
  <si>
    <t>Para una nueva familia:</t>
  </si>
  <si>
    <t>Ingreso Mínimo Vital</t>
  </si>
  <si>
    <t>Certificado de prestación por Desempleo</t>
  </si>
  <si>
    <t>Certificado de prestación por Jubilación</t>
  </si>
  <si>
    <t>Certificado de prestación por Incapacidad Permanente</t>
  </si>
  <si>
    <t>Certificado de prestación por Viudedad</t>
  </si>
  <si>
    <t>Certificado de prestación por Orfandad</t>
  </si>
  <si>
    <t>Certificado de otras prestaciones públicas</t>
  </si>
  <si>
    <t>En caso de separación o divorcio: Manutención de menores</t>
  </si>
  <si>
    <r>
      <rPr>
        <sz val="11"/>
        <color rgb="FF002060"/>
        <rFont val="Calibri"/>
        <charset val="134"/>
      </rPr>
      <t xml:space="preserve">Versión: </t>
    </r>
    <r>
      <rPr>
        <i/>
        <sz val="11"/>
        <color rgb="FF002060"/>
        <rFont val="Calibri"/>
        <charset val="134"/>
      </rPr>
      <t>enero de 2023</t>
    </r>
  </si>
  <si>
    <r>
      <rPr>
        <sz val="11"/>
        <rFont val="Calibri"/>
        <charset val="134"/>
      </rPr>
      <t xml:space="preserve">Cuantía mensual a ingresar </t>
    </r>
    <r>
      <rPr>
        <sz val="10"/>
        <rFont val="Calibri"/>
        <charset val="134"/>
      </rPr>
      <t>indicada en la resolución judicial</t>
    </r>
  </si>
  <si>
    <t>No dispone de ingresos justificables</t>
  </si>
  <si>
    <t xml:space="preserve">        Declaración de la Renta anual (negativa)</t>
  </si>
  <si>
    <t xml:space="preserve">        Informe de Vida Laboral</t>
  </si>
  <si>
    <t xml:space="preserve">        Inscripción como demandante de empleo</t>
  </si>
  <si>
    <t xml:space="preserve">        Certificado de no estar recibiendo ninguna prestación pública</t>
  </si>
  <si>
    <t>No dispone de documentación oficial para justificar su situación económica</t>
  </si>
  <si>
    <t>Declaración Jurada de Ingresos</t>
  </si>
  <si>
    <t>TOTAL INGRESOS ANUALES</t>
  </si>
  <si>
    <t>Algunas indicaciones de uso:</t>
  </si>
  <si>
    <r>
      <rPr>
        <sz val="11"/>
        <color rgb="FF002060"/>
        <rFont val="Corbel"/>
        <charset val="134"/>
      </rPr>
      <t xml:space="preserve">En la parte superior se indica el </t>
    </r>
    <r>
      <rPr>
        <b/>
        <sz val="11"/>
        <color rgb="FF002060"/>
        <rFont val="Corbel"/>
        <charset val="134"/>
      </rPr>
      <t>nombre de la comunidad autónoma</t>
    </r>
    <r>
      <rPr>
        <sz val="11"/>
        <color rgb="FF002060"/>
        <rFont val="Corbel"/>
        <charset val="134"/>
      </rPr>
      <t>. Ese dato modifica el importe de referencia, ajustándolo al de cada comunidad, así como la denominación del programa de renta mínima en cada comunidad  (¡Ojo a no modificar involuntariamente esa celda!)</t>
    </r>
  </si>
  <si>
    <r>
      <rPr>
        <sz val="11"/>
        <color rgb="FF002060"/>
        <rFont val="Corbel"/>
        <charset val="134"/>
      </rPr>
      <t xml:space="preserve">En la sección </t>
    </r>
    <r>
      <rPr>
        <b/>
        <i/>
        <sz val="11"/>
        <color rgb="FF002060"/>
        <rFont val="Corbel"/>
        <charset val="134"/>
      </rPr>
      <t>Unidad Familiar</t>
    </r>
    <r>
      <rPr>
        <sz val="11"/>
        <color rgb="FF002060"/>
        <rFont val="Corbel"/>
        <charset val="134"/>
      </rPr>
      <t xml:space="preserve"> (zona izquierda) introducir:</t>
    </r>
  </si>
  <si>
    <t>- Número de adultos que compone a unidad familiar</t>
  </si>
  <si>
    <t>- Número de menores de edad que compone a unidad familiar (incluidos los que no tienen ayudas del programa)</t>
  </si>
  <si>
    <t>- Marcar la casilla en caso de que sea una familia monoparental. El modificador de monoparentalidad (0,6) se ajusta automáticamente si se indica un solo adulto</t>
  </si>
  <si>
    <t>- Número de personas con discapacidad en unidad familiar</t>
  </si>
  <si>
    <t>Con esos datos se calcula el límite máximo de ingresos para una familia con esa composición. En la parte superior se activa la información de resultado (Cumple o no cumple requisitos económicos del programa)</t>
  </si>
  <si>
    <r>
      <rPr>
        <sz val="11"/>
        <color rgb="FF002060"/>
        <rFont val="Corbel"/>
        <charset val="134"/>
      </rPr>
      <t xml:space="preserve">En la sección de </t>
    </r>
    <r>
      <rPr>
        <b/>
        <i/>
        <sz val="11"/>
        <color rgb="FF002060"/>
        <rFont val="Corbel"/>
        <charset val="134"/>
      </rPr>
      <t>Ingresos brutos de la</t>
    </r>
    <r>
      <rPr>
        <b/>
        <sz val="11"/>
        <color rgb="FF002060"/>
        <rFont val="Corbel"/>
        <charset val="134"/>
      </rPr>
      <t xml:space="preserve"> </t>
    </r>
    <r>
      <rPr>
        <b/>
        <i/>
        <sz val="11"/>
        <color rgb="FF002060"/>
        <rFont val="Corbel"/>
        <charset val="134"/>
      </rPr>
      <t>unidad familiar</t>
    </r>
    <r>
      <rPr>
        <sz val="11"/>
        <color rgb="FF002060"/>
        <rFont val="Corbel"/>
        <charset val="134"/>
      </rPr>
      <t xml:space="preserve"> (a la derecha) introducir en función de cada situación. Se ha de tener en cuenta que deben computarse todas las fuentes de ingresos de la unidad familiar:</t>
    </r>
  </si>
  <si>
    <r>
      <rPr>
        <sz val="11"/>
        <color rgb="FF002060"/>
        <rFont val="Wingdings"/>
        <charset val="2"/>
      </rPr>
      <t>ü</t>
    </r>
    <r>
      <rPr>
        <sz val="7"/>
        <color rgb="FF002060"/>
        <rFont val="Times New Roman"/>
        <charset val="134"/>
      </rPr>
      <t xml:space="preserve">  </t>
    </r>
    <r>
      <rPr>
        <sz val="11"/>
        <color rgb="FF002060"/>
        <rFont val="Corbel"/>
        <charset val="134"/>
      </rPr>
      <t>Trabajadores/as por cuenta ajena: total devengo (importe bruto) de la nómina mensual y número de pagas anuales. Eso calcula el importe bruto anual. [Recomendación: en caso de nóminas irregulares, calcular en base a la media de las disponibles. En caso de que haya más de 2 perceptores, se podría usar la suma de varios perceptores en una misma fila]</t>
    </r>
  </si>
  <si>
    <r>
      <rPr>
        <sz val="11"/>
        <color rgb="FF002060"/>
        <rFont val="Wingdings"/>
        <charset val="2"/>
      </rPr>
      <t>ü</t>
    </r>
    <r>
      <rPr>
        <sz val="7"/>
        <color rgb="FF002060"/>
        <rFont val="Times New Roman"/>
        <charset val="134"/>
      </rPr>
      <t xml:space="preserve">  </t>
    </r>
    <r>
      <rPr>
        <sz val="11"/>
        <color rgb="FF002060"/>
        <rFont val="Corbel"/>
        <charset val="134"/>
      </rPr>
      <t xml:space="preserve">Trabajadores/as por cuenta propia (autónom@s): hay que localizar los ingresos brutos en la </t>
    </r>
    <r>
      <rPr>
        <i/>
        <sz val="11"/>
        <color rgb="FF002060"/>
        <rFont val="Corbel"/>
        <charset val="134"/>
      </rPr>
      <t>declaración trimestral de retenciones e ingresos a cuenta.</t>
    </r>
    <r>
      <rPr>
        <sz val="11"/>
        <color rgb="FF002060"/>
        <rFont val="Corbel"/>
        <charset val="134"/>
      </rPr>
      <t xml:space="preserve"> Se calcula el importe bruto anual.</t>
    </r>
  </si>
  <si>
    <r>
      <rPr>
        <sz val="11"/>
        <color rgb="FF002060"/>
        <rFont val="Wingdings"/>
        <charset val="2"/>
      </rPr>
      <t>ü</t>
    </r>
    <r>
      <rPr>
        <sz val="7"/>
        <color rgb="FF002060"/>
        <rFont val="Times New Roman"/>
        <charset val="134"/>
      </rPr>
      <t xml:space="preserve">  </t>
    </r>
    <r>
      <rPr>
        <sz val="11"/>
        <color rgb="FF002060"/>
        <rFont val="Corbel"/>
        <charset val="134"/>
      </rPr>
      <t xml:space="preserve">Si se presenta la declaración anual de la Renta hay que anotar el importe de la casilla de </t>
    </r>
    <r>
      <rPr>
        <i/>
        <sz val="11"/>
        <color rgb="FF002060"/>
        <rFont val="Corbel"/>
        <charset val="134"/>
      </rPr>
      <t>retribuciones dinerarias</t>
    </r>
    <r>
      <rPr>
        <sz val="11"/>
        <color rgb="FF002060"/>
        <rFont val="Corbel"/>
        <charset val="134"/>
      </rPr>
      <t>, en la sección de Rendimientos del trabajo (al inicio de la declaración)</t>
    </r>
  </si>
  <si>
    <r>
      <rPr>
        <sz val="11"/>
        <color rgb="FF002060"/>
        <rFont val="Wingdings"/>
        <charset val="2"/>
      </rPr>
      <t>ü</t>
    </r>
    <r>
      <rPr>
        <sz val="7"/>
        <color rgb="FF002060"/>
        <rFont val="Times New Roman"/>
        <charset val="134"/>
      </rPr>
      <t xml:space="preserve">  </t>
    </r>
    <r>
      <rPr>
        <sz val="11"/>
        <color rgb="FF002060"/>
        <rFont val="Corbel"/>
        <charset val="134"/>
      </rPr>
      <t>Si hay prestaciones, se han de incluir directamente los importes anuales. Se señalan distintas prestaciones, de las que se ha de aportar certificación</t>
    </r>
  </si>
  <si>
    <r>
      <rPr>
        <sz val="11"/>
        <color rgb="FF002060"/>
        <rFont val="Wingdings"/>
        <charset val="2"/>
      </rPr>
      <t>ü</t>
    </r>
    <r>
      <rPr>
        <sz val="7"/>
        <color rgb="FF002060"/>
        <rFont val="Times New Roman"/>
        <charset val="134"/>
      </rPr>
      <t xml:space="preserve">  </t>
    </r>
    <r>
      <rPr>
        <sz val="11"/>
        <color rgb="FF002060"/>
        <rFont val="Corbel"/>
        <charset val="134"/>
      </rPr>
      <t>Si hay manutención de menores, en caso de separación o divorcio, se acredita mediante la resolución judicial.</t>
    </r>
  </si>
  <si>
    <r>
      <rPr>
        <sz val="11"/>
        <color rgb="FF002060"/>
        <rFont val="Wingdings"/>
        <charset val="2"/>
      </rPr>
      <t>ü</t>
    </r>
    <r>
      <rPr>
        <sz val="7"/>
        <color rgb="FF002060"/>
        <rFont val="Times New Roman"/>
        <charset val="134"/>
      </rPr>
      <t xml:space="preserve">  </t>
    </r>
    <r>
      <rPr>
        <sz val="11"/>
        <color rgb="FF002060"/>
        <rFont val="Corbel"/>
        <charset val="134"/>
      </rPr>
      <t>Se señalan documentos a aportar en caso de no disponer de justificación de ingresos. Esta lista se incluye a título informativo.</t>
    </r>
  </si>
  <si>
    <r>
      <rPr>
        <sz val="11"/>
        <color rgb="FF002060"/>
        <rFont val="Wingdings"/>
        <charset val="2"/>
      </rPr>
      <t>ü</t>
    </r>
    <r>
      <rPr>
        <sz val="7"/>
        <color rgb="FF002060"/>
        <rFont val="Times New Roman"/>
        <charset val="134"/>
      </rPr>
      <t xml:space="preserve">  </t>
    </r>
    <r>
      <rPr>
        <sz val="11"/>
        <color rgb="FF002060"/>
        <rFont val="Corbel"/>
        <charset val="134"/>
      </rPr>
      <t>Finalmente, se puede incorporar el dato de ingresos anuales, en caso de no disponer acreditación de los mismos o de que sean complementarios a otros convenientemente acreditado</t>
    </r>
  </si>
  <si>
    <t>Con esta información se calcula el total de ingresos anuales.</t>
  </si>
  <si>
    <r>
      <rPr>
        <sz val="11"/>
        <color rgb="FF002060"/>
        <rFont val="Corbel"/>
        <charset val="134"/>
      </rPr>
      <t>En caso de que los ingresos no superen el límite establecido por el programa, en la parte superior aparece la leyenda “</t>
    </r>
    <r>
      <rPr>
        <b/>
        <i/>
        <sz val="11"/>
        <color rgb="FF002060"/>
        <rFont val="Corbel"/>
        <charset val="134"/>
      </rPr>
      <t>Cumple los requisitos económicos de CaixaProinfancia</t>
    </r>
    <r>
      <rPr>
        <i/>
        <sz val="11"/>
        <color rgb="FF002060"/>
        <rFont val="Corbel"/>
        <charset val="134"/>
      </rPr>
      <t>”</t>
    </r>
    <r>
      <rPr>
        <sz val="11"/>
        <color rgb="FF002060"/>
        <rFont val="Corbel"/>
        <charset val="134"/>
      </rPr>
      <t>.
En caso de que se supere el límite de ingresos, la leyenda que aparece, sobre fondo rojo es “</t>
    </r>
    <r>
      <rPr>
        <b/>
        <i/>
        <sz val="11"/>
        <color rgb="FF002060"/>
        <rFont val="Corbel"/>
        <charset val="134"/>
      </rPr>
      <t>NO cumple los requisitos económicos de CaixaProinfancia</t>
    </r>
    <r>
      <rPr>
        <i/>
        <sz val="11"/>
        <color rgb="FF002060"/>
        <rFont val="Corbel"/>
        <charset val="134"/>
      </rPr>
      <t>”</t>
    </r>
    <r>
      <rPr>
        <sz val="11"/>
        <color rgb="FF002060"/>
        <rFont val="Corbel"/>
        <charset val="134"/>
      </rPr>
      <t>.</t>
    </r>
  </si>
  <si>
    <r>
      <rPr>
        <sz val="11"/>
        <color rgb="FF002060"/>
        <rFont val="Corbel"/>
        <charset val="134"/>
      </rPr>
      <t xml:space="preserve">Para realizar los cálculos de una nueva familia, pulsar el botón </t>
    </r>
    <r>
      <rPr>
        <i/>
        <sz val="11"/>
        <color rgb="FF002060"/>
        <rFont val="Corbel"/>
        <charset val="134"/>
      </rPr>
      <t>BORRAR TODO</t>
    </r>
    <r>
      <rPr>
        <sz val="11"/>
        <color rgb="FF002060"/>
        <rFont val="Corbel"/>
        <charset val="134"/>
      </rPr>
      <t xml:space="preserve">. De ese modo se limpia la hoja de datos y nos coloca en la celda de </t>
    </r>
    <r>
      <rPr>
        <i/>
        <sz val="11"/>
        <color rgb="FF002060"/>
        <rFont val="Corbel"/>
        <charset val="134"/>
      </rPr>
      <t>Número de adultos</t>
    </r>
    <r>
      <rPr>
        <sz val="11"/>
        <color rgb="FF002060"/>
        <rFont val="Corbel"/>
        <charset val="134"/>
      </rPr>
      <t>.</t>
    </r>
  </si>
  <si>
    <t>Para pasar de una celda la siguiente celda activa, lo más cómodo es usar el tabulador.</t>
  </si>
  <si>
    <t>IPREM de referencia por CCAA para CaixaProinfancia</t>
  </si>
  <si>
    <t xml:space="preserve">Actualización: </t>
  </si>
  <si>
    <t>enero de 2023</t>
  </si>
  <si>
    <t>Andalucía</t>
  </si>
  <si>
    <t>Renta Mínima de Inserción Social</t>
  </si>
  <si>
    <t>Aragón</t>
  </si>
  <si>
    <t>Ingreso Aragonés de Inserción (IAI)</t>
  </si>
  <si>
    <t>Asturias, Principado de</t>
  </si>
  <si>
    <t>Salario Social Básico</t>
  </si>
  <si>
    <t>Renta Social Garantizada</t>
  </si>
  <si>
    <t>Canarias</t>
  </si>
  <si>
    <t>Prestación Canaria de Inserción (PCI)</t>
  </si>
  <si>
    <t>Cantabria</t>
  </si>
  <si>
    <t>Renta Social Básica</t>
  </si>
  <si>
    <t>Castilla y León</t>
  </si>
  <si>
    <t>Renta Garantizada de Ciudadanía (RGC)</t>
  </si>
  <si>
    <t>Castilla - La Mancha</t>
  </si>
  <si>
    <t>Ingreso Mínimo de Solidaridad</t>
  </si>
  <si>
    <t>Catalunya</t>
  </si>
  <si>
    <t>Comunitat Valenciana</t>
  </si>
  <si>
    <t>Renta Valenciana de Inclusión (RVI)</t>
  </si>
  <si>
    <t>Extremadura</t>
  </si>
  <si>
    <t>Renta Extremeña Garantizada</t>
  </si>
  <si>
    <t>Galicia</t>
  </si>
  <si>
    <t>Renta de Inclusión Social (RISGA)</t>
  </si>
  <si>
    <t>Madrid, Comunidad de</t>
  </si>
  <si>
    <t>Renta Mínima de Inserción (RMI)</t>
  </si>
  <si>
    <t>Murcia, Región de</t>
  </si>
  <si>
    <t>Renta Básica de Inserción</t>
  </si>
  <si>
    <t>Navarra, Comunidad Foral de</t>
  </si>
  <si>
    <t>Renta Garantizada</t>
  </si>
  <si>
    <t>Euskadi</t>
  </si>
  <si>
    <t>Renta de Garantía de Ingresos (RGI)</t>
  </si>
  <si>
    <t>Rioja, La</t>
  </si>
  <si>
    <t>Renta de Ciudadanía</t>
  </si>
  <si>
    <t>Ceuta</t>
  </si>
  <si>
    <t>Renta Mínima de Inserción</t>
  </si>
  <si>
    <t>Melilla</t>
  </si>
  <si>
    <t>Total nacional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</si>
</sst>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-* #,##0_-;\-* #,##0_-;_-* &quot;-&quot;_-;_-@_-"/>
    <numFmt numFmtId="176" formatCode="_-* #,##0.00\ _€_-;\-* #,##0.00\ _€_-;_-* &quot;-&quot;??\ _€_-;_-@_-"/>
    <numFmt numFmtId="177" formatCode="_-* #,##0.00\ &quot;€&quot;_-;\-* #,##0.00\ &quot;€&quot;_-;_-* \-??\ &quot;€&quot;_-;_-@_-"/>
    <numFmt numFmtId="178" formatCode="_-* #,##0\ &quot;€&quot;_-;\-* #,##0\ &quot;€&quot;_-;_-* &quot;-&quot;\ &quot;€&quot;_-;_-@_-"/>
    <numFmt numFmtId="179" formatCode="#,##0.0_ ;\-#,##0.0\ "/>
    <numFmt numFmtId="180" formatCode="#,##0.00_ ;\-#,##0.00\ "/>
    <numFmt numFmtId="181" formatCode="#,##0.00\ &quot;€&quot;"/>
  </numFmts>
  <fonts count="55">
    <font>
      <sz val="11"/>
      <color theme="1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sz val="11"/>
      <color rgb="FF002060"/>
      <name val="Calibri"/>
      <charset val="134"/>
      <scheme val="minor"/>
    </font>
    <font>
      <sz val="11"/>
      <color rgb="FF002060"/>
      <name val="Corbel"/>
      <charset val="134"/>
    </font>
    <font>
      <sz val="18"/>
      <color rgb="FF002060"/>
      <name val="Calibri Light"/>
      <charset val="134"/>
      <scheme val="major"/>
    </font>
    <font>
      <sz val="11"/>
      <color rgb="FF002060"/>
      <name val="Wingdings"/>
      <charset val="2"/>
    </font>
    <font>
      <sz val="11"/>
      <color theme="1"/>
      <name val="Calibri"/>
      <charset val="134"/>
    </font>
    <font>
      <sz val="11"/>
      <color rgb="FFE1F4FF"/>
      <name val="Calibri"/>
      <charset val="134"/>
    </font>
    <font>
      <sz val="11"/>
      <color theme="0"/>
      <name val="Calibri"/>
      <charset val="134"/>
    </font>
    <font>
      <sz val="11"/>
      <color rgb="FFFF0000"/>
      <name val="Calibri"/>
      <charset val="134"/>
    </font>
    <font>
      <sz val="14"/>
      <name val="Calibri"/>
      <charset val="134"/>
    </font>
    <font>
      <sz val="11"/>
      <color theme="0"/>
      <name val="Calibri"/>
      <charset val="134"/>
      <scheme val="minor"/>
    </font>
    <font>
      <b/>
      <sz val="12"/>
      <name val="Calibri"/>
      <charset val="134"/>
    </font>
    <font>
      <sz val="11"/>
      <color theme="0" tint="-0.0499893185216834"/>
      <name val="Calibri"/>
      <charset val="134"/>
    </font>
    <font>
      <i/>
      <sz val="11"/>
      <name val="Calibri"/>
      <charset val="134"/>
      <scheme val="minor"/>
    </font>
    <font>
      <sz val="11"/>
      <color rgb="FFE1F4FF"/>
      <name val="Calibri"/>
      <charset val="134"/>
      <scheme val="minor"/>
    </font>
    <font>
      <sz val="11"/>
      <name val="Calibri"/>
      <charset val="134"/>
    </font>
    <font>
      <b/>
      <sz val="11"/>
      <color theme="1"/>
      <name val="Calibri"/>
      <charset val="134"/>
    </font>
    <font>
      <b/>
      <sz val="11"/>
      <color theme="1"/>
      <name val="Calibri"/>
      <charset val="134"/>
      <scheme val="minor"/>
    </font>
    <font>
      <i/>
      <sz val="8"/>
      <color rgb="FFFFF4FF"/>
      <name val="Calibri"/>
      <charset val="134"/>
    </font>
    <font>
      <i/>
      <sz val="8"/>
      <color theme="0"/>
      <name val="Calibri"/>
      <charset val="134"/>
    </font>
    <font>
      <sz val="11"/>
      <color rgb="FF002060"/>
      <name val="Calibri"/>
      <charset val="134"/>
    </font>
    <font>
      <b/>
      <sz val="11"/>
      <color theme="0"/>
      <name val="Calibri"/>
      <charset val="134"/>
      <scheme val="minor"/>
    </font>
    <font>
      <sz val="12"/>
      <name val="Calibri"/>
      <charset val="134"/>
      <scheme val="minor"/>
    </font>
    <font>
      <i/>
      <sz val="10"/>
      <color theme="1"/>
      <name val="Calibri"/>
      <charset val="134"/>
    </font>
    <font>
      <sz val="11"/>
      <name val="Calibri"/>
      <charset val="134"/>
      <scheme val="minor"/>
    </font>
    <font>
      <b/>
      <sz val="11"/>
      <name val="Calibri"/>
      <charset val="134"/>
      <scheme val="minor"/>
    </font>
    <font>
      <b/>
      <sz val="11"/>
      <name val="Calibri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sz val="18"/>
      <color theme="3"/>
      <name val="Calibri Light"/>
      <charset val="134"/>
      <scheme val="maj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7"/>
      <color rgb="FF002060"/>
      <name val="Times New Roman"/>
      <charset val="134"/>
    </font>
    <font>
      <b/>
      <i/>
      <sz val="11"/>
      <color rgb="FF002060"/>
      <name val="Corbel"/>
      <charset val="134"/>
    </font>
    <font>
      <b/>
      <sz val="11"/>
      <color rgb="FF002060"/>
      <name val="Corbel"/>
      <charset val="134"/>
    </font>
    <font>
      <sz val="10"/>
      <name val="Calibri"/>
      <charset val="134"/>
    </font>
    <font>
      <i/>
      <sz val="11"/>
      <color rgb="FF002060"/>
      <name val="Corbel"/>
      <charset val="134"/>
    </font>
    <font>
      <i/>
      <sz val="11"/>
      <color rgb="FF002060"/>
      <name val="Calibri"/>
      <charset val="134"/>
    </font>
    <font>
      <i/>
      <sz val="9"/>
      <name val="Calibri"/>
      <charset val="134"/>
    </font>
  </fonts>
  <fills count="36">
    <fill>
      <patternFill patternType="none"/>
    </fill>
    <fill>
      <patternFill patternType="gray125"/>
    </fill>
    <fill>
      <patternFill patternType="solid">
        <fgColor rgb="FFFFF4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4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/>
      <right/>
      <top/>
      <bottom style="thin">
        <color theme="8" tint="-0.249946592608417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/>
    <xf numFmtId="177" fontId="29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41" fontId="29" fillId="0" borderId="0" applyFon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8" borderId="5" applyNumberFormat="0" applyFon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center"/>
    </xf>
    <xf numFmtId="0" fontId="35" fillId="0" borderId="6" applyNumberFormat="0" applyFill="0" applyAlignment="0" applyProtection="0">
      <alignment vertical="center"/>
    </xf>
    <xf numFmtId="0" fontId="1" fillId="0" borderId="1" applyNumberFormat="0" applyFill="0" applyAlignment="0" applyProtection="0"/>
    <xf numFmtId="0" fontId="36" fillId="0" borderId="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9" borderId="8" applyNumberFormat="0" applyAlignment="0" applyProtection="0">
      <alignment vertical="center"/>
    </xf>
    <xf numFmtId="0" fontId="38" fillId="10" borderId="9" applyNumberFormat="0" applyAlignment="0" applyProtection="0">
      <alignment vertical="center"/>
    </xf>
    <xf numFmtId="0" fontId="39" fillId="10" borderId="8" applyNumberFormat="0" applyAlignment="0" applyProtection="0">
      <alignment vertical="center"/>
    </xf>
    <xf numFmtId="0" fontId="40" fillId="11" borderId="10" applyNumberFormat="0" applyAlignment="0" applyProtection="0">
      <alignment vertical="center"/>
    </xf>
    <xf numFmtId="0" fontId="41" fillId="0" borderId="11" applyNumberFormat="0" applyFill="0" applyAlignment="0" applyProtection="0">
      <alignment vertical="center"/>
    </xf>
    <xf numFmtId="0" fontId="42" fillId="0" borderId="12" applyNumberFormat="0" applyFill="0" applyAlignment="0" applyProtection="0">
      <alignment vertical="center"/>
    </xf>
    <xf numFmtId="0" fontId="43" fillId="12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7" borderId="0" applyNumberFormat="0" applyBorder="0" applyAlignment="0" applyProtection="0">
      <alignment vertical="center"/>
    </xf>
    <xf numFmtId="0" fontId="12" fillId="7" borderId="0" applyNumberFormat="0" applyBorder="0" applyAlignment="0" applyProtection="0"/>
    <xf numFmtId="0" fontId="46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0" borderId="0" applyNumberFormat="0" applyBorder="0" applyAlignment="0" applyProtection="0">
      <alignment vertical="center"/>
    </xf>
    <xf numFmtId="0" fontId="46" fillId="21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4" borderId="0" applyNumberFormat="0" applyBorder="0" applyAlignment="0" applyProtection="0">
      <alignment vertical="center"/>
    </xf>
    <xf numFmtId="0" fontId="46" fillId="25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12" fillId="5" borderId="0" applyNumberFormat="0" applyBorder="0" applyAlignment="0" applyProtection="0"/>
    <xf numFmtId="0" fontId="47" fillId="30" borderId="0" applyNumberFormat="0" applyBorder="0" applyAlignment="0" applyProtection="0">
      <alignment vertical="center"/>
    </xf>
    <xf numFmtId="0" fontId="0" fillId="6" borderId="0" applyNumberFormat="0" applyBorder="0" applyAlignment="0" applyProtection="0"/>
    <xf numFmtId="0" fontId="46" fillId="31" borderId="0" applyNumberFormat="0" applyBorder="0" applyAlignment="0" applyProtection="0">
      <alignment vertical="center"/>
    </xf>
    <xf numFmtId="0" fontId="46" fillId="32" borderId="0" applyNumberFormat="0" applyBorder="0" applyAlignment="0" applyProtection="0">
      <alignment vertical="center"/>
    </xf>
    <xf numFmtId="0" fontId="47" fillId="33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</cellStyleXfs>
  <cellXfs count="69">
    <xf numFmtId="0" fontId="0" fillId="0" borderId="0" xfId="0"/>
    <xf numFmtId="0" fontId="1" fillId="0" borderId="1" xfId="13"/>
    <xf numFmtId="0" fontId="2" fillId="0" borderId="0" xfId="0" applyFont="1" applyAlignment="1">
      <alignment horizontal="right"/>
    </xf>
    <xf numFmtId="0" fontId="2" fillId="0" borderId="0" xfId="0" applyFont="1"/>
    <xf numFmtId="4" fontId="0" fillId="0" borderId="0" xfId="0" applyNumberFormat="1"/>
    <xf numFmtId="2" fontId="0" fillId="0" borderId="0" xfId="0" applyNumberFormat="1"/>
    <xf numFmtId="10" fontId="0" fillId="0" borderId="0" xfId="3" applyNumberFormat="1" applyFont="1"/>
    <xf numFmtId="49" fontId="3" fillId="2" borderId="0" xfId="0" applyNumberFormat="1" applyFont="1" applyFill="1"/>
    <xf numFmtId="49" fontId="4" fillId="2" borderId="0" xfId="0" applyNumberFormat="1" applyFont="1" applyFill="1" applyAlignment="1">
      <alignment vertical="center"/>
    </xf>
    <xf numFmtId="49" fontId="5" fillId="2" borderId="0" xfId="10" applyNumberFormat="1" applyFont="1" applyFill="1" applyAlignment="1" applyProtection="1">
      <alignment vertical="center"/>
    </xf>
    <xf numFmtId="49" fontId="4" fillId="2" borderId="0" xfId="0" applyNumberFormat="1" applyFont="1" applyFill="1" applyAlignment="1">
      <alignment horizontal="left" vertical="center" wrapText="1"/>
    </xf>
    <xf numFmtId="49" fontId="4" fillId="2" borderId="0" xfId="0" applyNumberFormat="1" applyFont="1" applyFill="1" applyAlignment="1">
      <alignment horizontal="left" vertical="top" wrapText="1"/>
    </xf>
    <xf numFmtId="49" fontId="3" fillId="2" borderId="0" xfId="0" applyNumberFormat="1" applyFont="1" applyFill="1" applyAlignment="1">
      <alignment wrapText="1"/>
    </xf>
    <xf numFmtId="49" fontId="4" fillId="2" borderId="0" xfId="0" applyNumberFormat="1" applyFont="1" applyFill="1" applyAlignment="1">
      <alignment vertical="center" wrapText="1"/>
    </xf>
    <xf numFmtId="49" fontId="4" fillId="2" borderId="0" xfId="0" applyNumberFormat="1" applyFont="1" applyFill="1" applyAlignment="1">
      <alignment horizontal="left" vertical="center" wrapText="1" indent="2"/>
    </xf>
    <xf numFmtId="0" fontId="6" fillId="2" borderId="0" xfId="0" applyFont="1" applyFill="1" applyAlignment="1">
      <alignment vertical="center"/>
    </xf>
    <xf numFmtId="0" fontId="6" fillId="2" borderId="0" xfId="0" applyFont="1" applyFill="1" applyAlignment="1">
      <alignment vertical="center" wrapText="1"/>
    </xf>
    <xf numFmtId="0" fontId="6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 wrapText="1"/>
    </xf>
    <xf numFmtId="49" fontId="4" fillId="2" borderId="0" xfId="0" applyNumberFormat="1" applyFont="1" applyFill="1" applyAlignment="1">
      <alignment vertical="top" wrapText="1"/>
    </xf>
    <xf numFmtId="0" fontId="7" fillId="3" borderId="0" xfId="0" applyFont="1" applyFill="1"/>
    <xf numFmtId="0" fontId="8" fillId="4" borderId="0" xfId="0" applyFont="1" applyFill="1"/>
    <xf numFmtId="0" fontId="7" fillId="4" borderId="0" xfId="0" applyFont="1" applyFill="1"/>
    <xf numFmtId="0" fontId="9" fillId="4" borderId="0" xfId="0" applyFont="1" applyFill="1"/>
    <xf numFmtId="0" fontId="10" fillId="4" borderId="0" xfId="0" applyFont="1" applyFill="1"/>
    <xf numFmtId="4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5" borderId="0" xfId="41" applyAlignment="1" applyProtection="1">
      <alignment horizontal="left" vertical="center"/>
    </xf>
    <xf numFmtId="0" fontId="7" fillId="4" borderId="0" xfId="0" applyFont="1" applyFill="1" applyAlignment="1">
      <alignment horizontal="right"/>
    </xf>
    <xf numFmtId="0" fontId="13" fillId="4" borderId="0" xfId="0" applyFont="1" applyFill="1" applyAlignment="1">
      <alignment horizontal="center" vertical="center" wrapText="1"/>
    </xf>
    <xf numFmtId="4" fontId="14" fillId="4" borderId="0" xfId="0" applyNumberFormat="1" applyFont="1" applyFill="1"/>
    <xf numFmtId="0" fontId="12" fillId="5" borderId="0" xfId="41" applyProtection="1"/>
    <xf numFmtId="0" fontId="12" fillId="5" borderId="0" xfId="41" applyAlignment="1" applyProtection="1">
      <alignment horizontal="center" vertical="center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79" fontId="0" fillId="6" borderId="0" xfId="43" applyNumberFormat="1" applyProtection="1"/>
    <xf numFmtId="0" fontId="15" fillId="7" borderId="0" xfId="28" applyFont="1" applyProtection="1"/>
    <xf numFmtId="0" fontId="16" fillId="4" borderId="0" xfId="0" applyFont="1" applyFill="1" applyProtection="1">
      <protection locked="0"/>
    </xf>
    <xf numFmtId="0" fontId="17" fillId="4" borderId="0" xfId="0" applyFont="1" applyFill="1"/>
    <xf numFmtId="0" fontId="17" fillId="4" borderId="0" xfId="0" applyFont="1" applyFill="1" applyAlignment="1">
      <alignment horizontal="center"/>
    </xf>
    <xf numFmtId="4" fontId="17" fillId="3" borderId="2" xfId="0" applyNumberFormat="1" applyFont="1" applyFill="1" applyBorder="1" applyAlignment="1" applyProtection="1">
      <alignment horizontal="center" vertical="center"/>
      <protection locked="0"/>
    </xf>
    <xf numFmtId="1" fontId="17" fillId="3" borderId="2" xfId="0" applyNumberFormat="1" applyFont="1" applyFill="1" applyBorder="1" applyAlignment="1" applyProtection="1">
      <alignment horizontal="center" vertical="center"/>
      <protection locked="0"/>
    </xf>
    <xf numFmtId="0" fontId="18" fillId="4" borderId="0" xfId="0" applyFont="1" applyFill="1" applyAlignment="1">
      <alignment horizontal="right"/>
    </xf>
    <xf numFmtId="179" fontId="19" fillId="6" borderId="0" xfId="43" applyNumberFormat="1" applyFont="1" applyProtection="1"/>
    <xf numFmtId="0" fontId="7" fillId="4" borderId="3" xfId="0" applyFont="1" applyFill="1" applyBorder="1"/>
    <xf numFmtId="0" fontId="18" fillId="4" borderId="3" xfId="0" applyFont="1" applyFill="1" applyBorder="1"/>
    <xf numFmtId="0" fontId="18" fillId="4" borderId="3" xfId="0" applyFont="1" applyFill="1" applyBorder="1" applyAlignment="1">
      <alignment horizontal="right"/>
    </xf>
    <xf numFmtId="180" fontId="19" fillId="6" borderId="3" xfId="43" applyNumberFormat="1" applyFont="1" applyBorder="1" applyProtection="1"/>
    <xf numFmtId="0" fontId="17" fillId="4" borderId="3" xfId="0" applyFont="1" applyFill="1" applyBorder="1"/>
    <xf numFmtId="176" fontId="20" fillId="4" borderId="0" xfId="1" applyFont="1" applyFill="1" applyProtection="1"/>
    <xf numFmtId="0" fontId="7" fillId="3" borderId="2" xfId="0" applyFont="1" applyFill="1" applyBorder="1" applyAlignment="1">
      <alignment horizontal="center" vertical="center"/>
    </xf>
    <xf numFmtId="176" fontId="21" fillId="4" borderId="0" xfId="1" applyFont="1" applyFill="1" applyProtection="1"/>
    <xf numFmtId="49" fontId="7" fillId="4" borderId="0" xfId="0" applyNumberFormat="1" applyFont="1" applyFill="1"/>
    <xf numFmtId="0" fontId="22" fillId="4" borderId="0" xfId="0" applyFont="1" applyFill="1"/>
    <xf numFmtId="0" fontId="17" fillId="4" borderId="4" xfId="0" applyFont="1" applyFill="1" applyBorder="1"/>
    <xf numFmtId="0" fontId="23" fillId="5" borderId="0" xfId="41" applyFont="1" applyProtection="1"/>
    <xf numFmtId="0" fontId="23" fillId="5" borderId="0" xfId="41" applyFont="1" applyAlignment="1" applyProtection="1">
      <alignment horizontal="right"/>
    </xf>
    <xf numFmtId="181" fontId="24" fillId="6" borderId="0" xfId="43" applyNumberFormat="1" applyFont="1" applyAlignment="1" applyProtection="1">
      <alignment horizontal="center" vertical="center"/>
    </xf>
    <xf numFmtId="0" fontId="9" fillId="3" borderId="0" xfId="0" applyFont="1" applyFill="1" applyProtection="1">
      <protection hidden="1"/>
    </xf>
    <xf numFmtId="0" fontId="9" fillId="0" borderId="0" xfId="0" applyFont="1"/>
    <xf numFmtId="0" fontId="9" fillId="3" borderId="0" xfId="0" applyFont="1" applyFill="1"/>
    <xf numFmtId="0" fontId="10" fillId="3" borderId="0" xfId="0" applyFont="1" applyFill="1"/>
    <xf numFmtId="0" fontId="25" fillId="4" borderId="0" xfId="0" applyFont="1" applyFill="1" applyAlignment="1">
      <alignment horizontal="right"/>
    </xf>
    <xf numFmtId="4" fontId="26" fillId="6" borderId="0" xfId="43" applyNumberFormat="1" applyFont="1" applyProtection="1"/>
    <xf numFmtId="180" fontId="27" fillId="6" borderId="3" xfId="43" applyNumberFormat="1" applyFont="1" applyBorder="1" applyProtection="1"/>
    <xf numFmtId="4" fontId="17" fillId="3" borderId="2" xfId="0" applyNumberFormat="1" applyFont="1" applyFill="1" applyBorder="1" applyAlignment="1" applyProtection="1">
      <alignment horizontal="right" vertical="center"/>
      <protection locked="0"/>
    </xf>
    <xf numFmtId="4" fontId="17" fillId="4" borderId="0" xfId="0" applyNumberFormat="1" applyFont="1" applyFill="1"/>
    <xf numFmtId="0" fontId="10" fillId="4" borderId="0" xfId="0" applyFont="1" applyFill="1" applyProtection="1">
      <protection locked="0"/>
    </xf>
    <xf numFmtId="4" fontId="17" fillId="4" borderId="4" xfId="0" applyNumberFormat="1" applyFont="1" applyFill="1" applyBorder="1"/>
    <xf numFmtId="4" fontId="28" fillId="3" borderId="2" xfId="0" applyNumberFormat="1" applyFont="1" applyFill="1" applyBorder="1" applyAlignment="1" applyProtection="1">
      <alignment horizontal="right" vertical="center"/>
      <protection locked="0"/>
    </xf>
    <xf numFmtId="4" fontId="23" fillId="5" borderId="0" xfId="41" applyNumberFormat="1" applyFont="1" applyProtection="1"/>
    <xf numFmtId="49" fontId="4" fillId="2" borderId="0" xfId="0" applyNumberFormat="1" applyFont="1" applyFill="1" applyAlignment="1" quotePrefix="1">
      <alignment vertical="center" wrapText="1"/>
    </xf>
  </cellXfs>
  <cellStyles count="49">
    <cellStyle name="Normal" xfId="0" builtinId="0"/>
    <cellStyle name="Coma" xfId="1" builtinId="3"/>
    <cellStyle name="Moneda" xfId="2" builtinId="4"/>
    <cellStyle name="Porcentaje" xfId="3" builtinId="5"/>
    <cellStyle name="Coma [0]" xfId="4" builtinId="6"/>
    <cellStyle name="Moneda [0]" xfId="5" builtinId="7"/>
    <cellStyle name="Hipervínculo" xfId="6" builtinId="8"/>
    <cellStyle name="Hipervínculo visitado" xfId="7" builtinId="9"/>
    <cellStyle name="Nota" xfId="8" builtinId="10"/>
    <cellStyle name="Texto de advertencia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lida" xfId="17" builtinId="21"/>
    <cellStyle name="Cálculo" xfId="18" builtinId="22"/>
    <cellStyle name="Celda de comprobación" xfId="19" builtinId="23"/>
    <cellStyle name="Celda vinculada" xfId="20" builtinId="24"/>
    <cellStyle name="Total" xfId="21" builtinId="25"/>
    <cellStyle name="Correcto" xfId="22" builtinId="26"/>
    <cellStyle name="Incorrecto" xfId="23" builtinId="27"/>
    <cellStyle name="Neutro" xfId="24" builtinId="28"/>
    <cellStyle name="Énfasis1" xfId="25" builtinId="29"/>
    <cellStyle name="20% - Énfasis1" xfId="26" builtinId="30"/>
    <cellStyle name="40% - Énfasis1" xfId="27" builtinId="31"/>
    <cellStyle name="60% - Énfasis1" xfId="28" builtinId="32"/>
    <cellStyle name="Énfasis2" xfId="29" builtinId="33"/>
    <cellStyle name="20% - Énfasis2" xfId="30" builtinId="34"/>
    <cellStyle name="40% - Énfasis2" xfId="31" builtinId="35"/>
    <cellStyle name="60% - Énfasis2" xfId="32" builtinId="36"/>
    <cellStyle name="Énfasis3" xfId="33" builtinId="37"/>
    <cellStyle name="20% - Énfasis3" xfId="34" builtinId="38"/>
    <cellStyle name="40% - Énfasis3" xfId="35" builtinId="39"/>
    <cellStyle name="60% - Énfasis3" xfId="36" builtinId="40"/>
    <cellStyle name="Énfasis4" xfId="37" builtinId="41"/>
    <cellStyle name="20% - Énfasis4" xfId="38" builtinId="42"/>
    <cellStyle name="40% - Énfasis4" xfId="39" builtinId="43"/>
    <cellStyle name="60% - Énfasis4" xfId="40" builtinId="44"/>
    <cellStyle name="Énfasis5" xfId="41" builtinId="45"/>
    <cellStyle name="20% - Énfasis5" xfId="42" builtinId="46"/>
    <cellStyle name="40% - Énfasis5" xfId="43" builtinId="47"/>
    <cellStyle name="60% - Énfasis5" xfId="44" builtinId="48"/>
    <cellStyle name="Énfasis6" xfId="45" builtinId="49"/>
    <cellStyle name="20% - Énfasis6" xfId="46" builtinId="50"/>
    <cellStyle name="40% - Énfasis6" xfId="47" builtinId="51"/>
    <cellStyle name="60% - Énfasis6" xfId="48" builtinId="52"/>
  </cellStyles>
  <dxfs count="3">
    <dxf>
      <font>
        <color rgb="FFE1F4FF"/>
      </font>
      <fill>
        <patternFill patternType="solid">
          <bgColor rgb="FFFFF4FF"/>
        </patternFill>
      </fill>
    </dxf>
    <dxf>
      <font>
        <b val="1"/>
        <i val="0"/>
      </font>
      <fill>
        <patternFill patternType="solid">
          <bgColor rgb="FF92D050"/>
        </patternFill>
      </fill>
    </dxf>
    <dxf>
      <font>
        <b val="1"/>
        <i val="0"/>
        <color rgb="FFFFFF00"/>
      </font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00FFF4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CheckBox" fmlaLink="C8" noThreeD="1" val="0"/>
</file>

<file path=xl/ctrlProps/ctrlProp2.xml><?xml version="1.0" encoding="utf-8"?>
<formControlPr xmlns="http://schemas.microsoft.com/office/spreadsheetml/2009/9/main" objectType="CheckBox" noThreeD="1" val="0"/>
</file>

<file path=xl/ctrlProps/ctrlProp3.xml><?xml version="1.0" encoding="utf-8"?>
<formControlPr xmlns="http://schemas.microsoft.com/office/spreadsheetml/2009/9/main" objectType="CheckBox" noThreeD="1" val="0"/>
</file>

<file path=xl/ctrlProps/ctrlProp4.xml><?xml version="1.0" encoding="utf-8"?>
<formControlPr xmlns="http://schemas.microsoft.com/office/spreadsheetml/2009/9/main" objectType="CheckBox" noThreeD="1" val="0"/>
</file>

<file path=xl/ctrlProps/ctrlProp5.xml><?xml version="1.0" encoding="utf-8"?>
<formControlPr xmlns="http://schemas.microsoft.com/office/spreadsheetml/2009/9/main" objectType="CheckBox" noThreeD="1" val="0"/>
</file>

<file path=xl/ctrlProps/ctrlProp6.xml><?xml version="1.0" encoding="utf-8"?>
<formControlPr xmlns="http://schemas.microsoft.com/office/spreadsheetml/2009/9/main" objectType="CheckBox" fmlaLink="C8" noThreeD="1" val="0"/>
</file>

<file path=xl/ctrlProps/ctrlProp7.xml><?xml version="1.0" encoding="utf-8"?>
<formControlPr xmlns="http://schemas.microsoft.com/office/spreadsheetml/2009/9/main" objectType="CheckBox" fmlaLink="$K$30" noThreeD="1" val="0"/>
</file>

<file path=xl/ctrlProps/ctrlProp8.xml><?xml version="1.0" encoding="utf-8"?>
<formControlPr xmlns="http://schemas.microsoft.com/office/spreadsheetml/2009/9/main" objectType="CheckBox" fmlaLink="$K$31" noThreeD="1" val="0"/>
</file>

<file path=xl/ctrlProps/ctrlProp9.xml><?xml version="1.0" encoding="utf-8"?>
<formControlPr xmlns="http://schemas.microsoft.com/office/spreadsheetml/2009/9/main" objectType="CheckBox" fmlaLink="$K$32" noThreeD="1" val="0"/>
</file>

<file path=xl/ctrlProps/ctrlProp10.xml><?xml version="1.0" encoding="utf-8"?>
<formControlPr xmlns="http://schemas.microsoft.com/office/spreadsheetml/2009/9/main" objectType="CheckBox" fmlaLink="$K$33" noThreeD="1" val="0"/>
</file>

<file path=xl/ctrlProps/ctrlProp11.xml><?xml version="1.0" encoding="utf-8"?>
<formControlPr xmlns="http://schemas.microsoft.com/office/spreadsheetml/2009/9/main" objectType="CheckBox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7</xdr:row>
          <xdr:rowOff>22860</xdr:rowOff>
        </xdr:from>
        <xdr:to>
          <xdr:col>2</xdr:col>
          <xdr:colOff>236220</xdr:colOff>
          <xdr:row>8</xdr:row>
          <xdr:rowOff>7620</xdr:rowOff>
        </xdr:to>
        <xdr:sp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004060" y="1386840"/>
              <a:ext cx="175260" cy="177165"/>
            </a:xfrm>
            <a:prstGeom prst="rect">
              <a:avLst/>
            </a:prstGeom>
          </xdr:spPr>
          <xdr:txBody>
            <a:bodyPr/>
            <a:p>
              <a:endParaRPr lang="es-ES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29</xdr:row>
          <xdr:rowOff>0</xdr:rowOff>
        </xdr:from>
        <xdr:to>
          <xdr:col>6</xdr:col>
          <xdr:colOff>213360</xdr:colOff>
          <xdr:row>30</xdr:row>
          <xdr:rowOff>7620</xdr:rowOff>
        </xdr:to>
        <xdr:sp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535680" y="5568315"/>
              <a:ext cx="182880" cy="190500"/>
            </a:xfrm>
            <a:prstGeom prst="rect">
              <a:avLst/>
            </a:prstGeom>
          </xdr:spPr>
          <xdr:txBody>
            <a:bodyPr/>
            <a:p>
              <a:endParaRPr lang="es-ES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30</xdr:row>
          <xdr:rowOff>0</xdr:rowOff>
        </xdr:from>
        <xdr:to>
          <xdr:col>6</xdr:col>
          <xdr:colOff>213360</xdr:colOff>
          <xdr:row>31</xdr:row>
          <xdr:rowOff>7620</xdr:rowOff>
        </xdr:to>
        <xdr:sp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3535680" y="5751195"/>
              <a:ext cx="182880" cy="190500"/>
            </a:xfrm>
            <a:prstGeom prst="rect">
              <a:avLst/>
            </a:prstGeom>
          </xdr:spPr>
          <xdr:txBody>
            <a:bodyPr/>
            <a:p>
              <a:endParaRPr lang="es-ES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31</xdr:row>
          <xdr:rowOff>0</xdr:rowOff>
        </xdr:from>
        <xdr:to>
          <xdr:col>6</xdr:col>
          <xdr:colOff>213360</xdr:colOff>
          <xdr:row>32</xdr:row>
          <xdr:rowOff>7620</xdr:rowOff>
        </xdr:to>
        <xdr:sp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3535680" y="5934075"/>
              <a:ext cx="182880" cy="190500"/>
            </a:xfrm>
            <a:prstGeom prst="rect">
              <a:avLst/>
            </a:prstGeom>
          </xdr:spPr>
          <xdr:txBody>
            <a:bodyPr/>
            <a:p>
              <a:endParaRPr lang="es-ES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32</xdr:row>
          <xdr:rowOff>0</xdr:rowOff>
        </xdr:from>
        <xdr:to>
          <xdr:col>6</xdr:col>
          <xdr:colOff>213360</xdr:colOff>
          <xdr:row>33</xdr:row>
          <xdr:rowOff>7620</xdr:rowOff>
        </xdr:to>
        <xdr:sp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3535680" y="6116955"/>
              <a:ext cx="18288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7</xdr:row>
          <xdr:rowOff>22860</xdr:rowOff>
        </xdr:from>
        <xdr:to>
          <xdr:col>2</xdr:col>
          <xdr:colOff>236220</xdr:colOff>
          <xdr:row>8</xdr:row>
          <xdr:rowOff>7620</xdr:rowOff>
        </xdr:to>
        <xdr:sp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2004060" y="1386840"/>
              <a:ext cx="175260" cy="177165"/>
            </a:xfrm>
            <a:prstGeom prst="rect">
              <a:avLst/>
            </a:prstGeom>
          </xdr:spPr>
          <xdr:txBody>
            <a:bodyPr/>
            <a:p>
              <a:endParaRPr lang="es-ES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29</xdr:row>
          <xdr:rowOff>0</xdr:rowOff>
        </xdr:from>
        <xdr:to>
          <xdr:col>6</xdr:col>
          <xdr:colOff>213360</xdr:colOff>
          <xdr:row>30</xdr:row>
          <xdr:rowOff>7620</xdr:rowOff>
        </xdr:to>
        <xdr:sp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3535680" y="5568315"/>
              <a:ext cx="182880" cy="190500"/>
            </a:xfrm>
            <a:prstGeom prst="rect">
              <a:avLst/>
            </a:prstGeom>
          </xdr:spPr>
          <xdr:txBody>
            <a:bodyPr/>
            <a:p>
              <a:endParaRPr lang="es-ES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30</xdr:row>
          <xdr:rowOff>0</xdr:rowOff>
        </xdr:from>
        <xdr:to>
          <xdr:col>6</xdr:col>
          <xdr:colOff>213360</xdr:colOff>
          <xdr:row>31</xdr:row>
          <xdr:rowOff>7620</xdr:rowOff>
        </xdr:to>
        <xdr:sp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3535680" y="5751195"/>
              <a:ext cx="182880" cy="190500"/>
            </a:xfrm>
            <a:prstGeom prst="rect">
              <a:avLst/>
            </a:prstGeom>
          </xdr:spPr>
          <xdr:txBody>
            <a:bodyPr/>
            <a:p>
              <a:endParaRPr lang="es-ES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31</xdr:row>
          <xdr:rowOff>0</xdr:rowOff>
        </xdr:from>
        <xdr:to>
          <xdr:col>6</xdr:col>
          <xdr:colOff>213360</xdr:colOff>
          <xdr:row>32</xdr:row>
          <xdr:rowOff>7620</xdr:rowOff>
        </xdr:to>
        <xdr:sp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3535680" y="5934075"/>
              <a:ext cx="182880" cy="190500"/>
            </a:xfrm>
            <a:prstGeom prst="rect">
              <a:avLst/>
            </a:prstGeom>
          </xdr:spPr>
          <xdr:txBody>
            <a:bodyPr/>
            <a:p>
              <a:endParaRPr lang="es-ES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32</xdr:row>
          <xdr:rowOff>0</xdr:rowOff>
        </xdr:from>
        <xdr:to>
          <xdr:col>6</xdr:col>
          <xdr:colOff>213360</xdr:colOff>
          <xdr:row>33</xdr:row>
          <xdr:rowOff>7620</xdr:rowOff>
        </xdr:to>
        <xdr:sp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3535680" y="6116955"/>
              <a:ext cx="18288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14</xdr:row>
          <xdr:rowOff>190500</xdr:rowOff>
        </xdr:from>
        <xdr:to>
          <xdr:col>4</xdr:col>
          <xdr:colOff>7620</xdr:colOff>
          <xdr:row>16</xdr:row>
          <xdr:rowOff>30480</xdr:rowOff>
        </xdr:to>
        <xdr:sp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2308860" y="2891790"/>
              <a:ext cx="251460" cy="224790"/>
            </a:xfrm>
            <a:prstGeom prst="rect">
              <a:avLst/>
            </a:prstGeom>
          </xdr:spPr>
          <xdr:txBody>
            <a:bodyPr/>
            <a:p>
              <a:endParaRPr lang="es-ES" altLang="en-US"/>
            </a:p>
          </xdr:txBody>
        </xdr:sp>
        <xdr:clientData/>
      </xdr:twoCellAnchor>
    </mc:Choice>
    <mc:Fallback/>
  </mc:AlternateContent>
  <xdr:twoCellAnchor>
    <xdr:from>
      <xdr:col>1</xdr:col>
      <xdr:colOff>1610139</xdr:colOff>
      <xdr:row>17</xdr:row>
      <xdr:rowOff>59633</xdr:rowOff>
    </xdr:from>
    <xdr:to>
      <xdr:col>4</xdr:col>
      <xdr:colOff>662609</xdr:colOff>
      <xdr:row>19</xdr:row>
      <xdr:rowOff>31162</xdr:rowOff>
    </xdr:to>
    <xdr:sp macro="[0]!ClearCellsOnlyData">
      <xdr:nvSpPr>
        <xdr:cNvPr id="14" name="Rectángulo redondeado 13"/>
        <xdr:cNvSpPr/>
      </xdr:nvSpPr>
      <xdr:spPr>
        <a:xfrm>
          <a:off x="1701165" y="3337560"/>
          <a:ext cx="1513840" cy="35687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BORRAR TODO</a:t>
          </a:r>
          <a:endParaRPr lang="es-ES" sz="1100" b="1"/>
        </a:p>
      </xdr:txBody>
    </xdr:sp>
    <xdr:clientData/>
  </xdr:twoCellAnchor>
  <xdr:twoCellAnchor>
    <xdr:from>
      <xdr:col>3</xdr:col>
      <xdr:colOff>298939</xdr:colOff>
      <xdr:row>32</xdr:row>
      <xdr:rowOff>111369</xdr:rowOff>
    </xdr:from>
    <xdr:to>
      <xdr:col>4</xdr:col>
      <xdr:colOff>697524</xdr:colOff>
      <xdr:row>36</xdr:row>
      <xdr:rowOff>154988</xdr:rowOff>
    </xdr:to>
    <xdr:sp macro="[0]!Arriba">
      <xdr:nvSpPr>
        <xdr:cNvPr id="15" name="70 Flecha arriba"/>
        <xdr:cNvSpPr/>
      </xdr:nvSpPr>
      <xdr:spPr>
        <a:xfrm>
          <a:off x="2538730" y="6228080"/>
          <a:ext cx="711200" cy="687705"/>
        </a:xfrm>
        <a:prstGeom prst="up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s-ES" sz="1100"/>
            <a:t>Arriba</a:t>
          </a:r>
          <a:endParaRPr lang="es-ES" sz="1100"/>
        </a:p>
      </xdr:txBody>
    </xdr:sp>
    <xdr:clientData/>
  </xdr:twoCellAnchor>
  <xdr:twoCellAnchor editAs="oneCell">
    <xdr:from>
      <xdr:col>0</xdr:col>
      <xdr:colOff>0</xdr:colOff>
      <xdr:row>0</xdr:row>
      <xdr:rowOff>59760</xdr:rowOff>
    </xdr:from>
    <xdr:to>
      <xdr:col>2</xdr:col>
      <xdr:colOff>281529</xdr:colOff>
      <xdr:row>1</xdr:row>
      <xdr:rowOff>52290</xdr:rowOff>
    </xdr:to>
    <xdr:pic>
      <xdr:nvPicPr>
        <xdr:cNvPr id="2" name="Imagen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54" b="20545"/>
        <a:stretch>
          <a:fillRect/>
        </a:stretch>
      </xdr:blipFill>
      <xdr:spPr>
        <a:xfrm>
          <a:off x="0" y="59690"/>
          <a:ext cx="2224405" cy="335280"/>
        </a:xfrm>
        <a:prstGeom prst="rect">
          <a:avLst/>
        </a:prstGeom>
      </xdr:spPr>
    </xdr:pic>
    <xdr:clientData/>
  </xdr:twoCellAnchor>
  <xdr:twoCellAnchor>
    <xdr:from>
      <xdr:col>1</xdr:col>
      <xdr:colOff>908050</xdr:colOff>
      <xdr:row>20</xdr:row>
      <xdr:rowOff>95250</xdr:rowOff>
    </xdr:from>
    <xdr:to>
      <xdr:col>4</xdr:col>
      <xdr:colOff>665370</xdr:colOff>
      <xdr:row>22</xdr:row>
      <xdr:rowOff>66779</xdr:rowOff>
    </xdr:to>
    <xdr:sp macro="[0]!A_Indicaciones">
      <xdr:nvSpPr>
        <xdr:cNvPr id="21" name="Rectángulo redondeado 20"/>
        <xdr:cNvSpPr/>
      </xdr:nvSpPr>
      <xdr:spPr>
        <a:xfrm>
          <a:off x="999490" y="3950970"/>
          <a:ext cx="2218055" cy="356235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Ir a la página de indicaciones</a:t>
          </a:r>
          <a:endParaRPr lang="es-E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138044</xdr:colOff>
      <xdr:row>0</xdr:row>
      <xdr:rowOff>77304</xdr:rowOff>
    </xdr:from>
    <xdr:to>
      <xdr:col>6</xdr:col>
      <xdr:colOff>117614</xdr:colOff>
      <xdr:row>0</xdr:row>
      <xdr:rowOff>381000</xdr:rowOff>
    </xdr:to>
    <xdr:sp macro="[0]!Verificacion">
      <xdr:nvSpPr>
        <xdr:cNvPr id="2" name="Rectángulo redondeado 1"/>
        <xdr:cNvSpPr/>
      </xdr:nvSpPr>
      <xdr:spPr>
        <a:xfrm>
          <a:off x="6767195" y="76835"/>
          <a:ext cx="2219960" cy="30416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50" b="1"/>
            <a:t>Volver</a:t>
          </a:r>
          <a:r>
            <a:rPr lang="es-ES" sz="1100" b="1"/>
            <a:t> a la página de verificación</a:t>
          </a:r>
          <a:endParaRPr lang="es-E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3" Type="http://schemas.openxmlformats.org/officeDocument/2006/relationships/ctrlProp" Target="../ctrlProps/ctrlProp11.xml"/><Relationship Id="rId12" Type="http://schemas.openxmlformats.org/officeDocument/2006/relationships/ctrlProp" Target="../ctrlProps/ctrlProp10.xml"/><Relationship Id="rId11" Type="http://schemas.openxmlformats.org/officeDocument/2006/relationships/ctrlProp" Target="../ctrlProps/ctrlProp9.x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0"/>
  <dimension ref="B1:N37"/>
  <sheetViews>
    <sheetView showGridLines="0" showRowColHeaders="0" showZeros="0" tabSelected="1" workbookViewId="0">
      <pane ySplit="5" topLeftCell="A6" activePane="bottomLeft" state="frozen"/>
      <selection/>
      <selection pane="bottomLeft" activeCell="N19" sqref="N19"/>
    </sheetView>
  </sheetViews>
  <sheetFormatPr defaultColWidth="11.5555555555556" defaultRowHeight="14.4"/>
  <cols>
    <col min="1" max="1" width="1.33333333333333" style="22" customWidth="1"/>
    <col min="2" max="2" width="27" style="22" customWidth="1"/>
    <col min="3" max="3" width="4.33333333333333" style="22" customWidth="1"/>
    <col min="4" max="4" width="4.55555555555556" style="22" customWidth="1"/>
    <col min="5" max="5" width="10.3333333333333" style="22" customWidth="1"/>
    <col min="6" max="6" width="3.55555555555556" style="22" customWidth="1"/>
    <col min="7" max="7" width="38.8888888888889" style="22" customWidth="1"/>
    <col min="8" max="8" width="11.3333333333333" style="22" customWidth="1"/>
    <col min="9" max="9" width="13.1111111111111" style="23" customWidth="1"/>
    <col min="10" max="10" width="17.6666666666667" style="23" hidden="1" customWidth="1"/>
    <col min="11" max="11" width="11.5555555555556" style="24" hidden="1" customWidth="1"/>
    <col min="12" max="13" width="11.5555555555556" style="22" customWidth="1"/>
    <col min="14" max="16384" width="11.5555555555556" style="22"/>
  </cols>
  <sheetData>
    <row r="1" s="20" customFormat="1" ht="27" customHeight="1" spans="7:14">
      <c r="G1" s="25" t="s">
        <v>0</v>
      </c>
      <c r="I1" s="55">
        <f>VLOOKUP(G1,IPREM_CCAA!A2:B20,2,FALSE)</f>
        <v>9607.6</v>
      </c>
      <c r="J1" s="56" t="s">
        <v>1</v>
      </c>
      <c r="L1" s="57"/>
      <c r="M1" s="58"/>
      <c r="N1" s="58"/>
    </row>
    <row r="2" s="20" customFormat="1" ht="9.6" customHeight="1" spans="10:11">
      <c r="J2" s="56" t="s">
        <v>2</v>
      </c>
      <c r="K2" s="59"/>
    </row>
    <row r="3" ht="20.4" customHeight="1" spans="2:9">
      <c r="B3" s="26" t="s">
        <v>3</v>
      </c>
      <c r="C3" s="27"/>
      <c r="D3" s="28" t="str">
        <f>IF(E14=0,"",IF(E13&lt;E11,J1,J2))</f>
        <v>Cumple los requisitos económicos de CaixaProinfancia</v>
      </c>
      <c r="E3" s="28"/>
      <c r="F3" s="28"/>
      <c r="G3" s="28"/>
      <c r="H3" s="28"/>
      <c r="I3" s="28"/>
    </row>
    <row r="4" ht="4.95" customHeight="1" spans="5:9">
      <c r="E4" s="29"/>
      <c r="G4" s="24"/>
      <c r="I4" s="24"/>
    </row>
    <row r="5" ht="15.15" spans="2:9">
      <c r="B5" s="30" t="s">
        <v>4</v>
      </c>
      <c r="C5" s="30"/>
      <c r="D5" s="31" t="s">
        <v>5</v>
      </c>
      <c r="E5" s="30"/>
      <c r="G5" s="30" t="s">
        <v>6</v>
      </c>
      <c r="H5" s="30"/>
      <c r="I5" s="30"/>
    </row>
    <row r="6" ht="15.15" spans="2:9">
      <c r="B6" s="22" t="s">
        <v>7</v>
      </c>
      <c r="C6" s="32">
        <v>2</v>
      </c>
      <c r="D6" s="33">
        <f>IF(C6="","",IF(C6=1,1,1+(C6-1)*0.5))</f>
        <v>1.5</v>
      </c>
      <c r="I6" s="60" t="s">
        <v>8</v>
      </c>
    </row>
    <row r="7" ht="15.15" spans="2:9">
      <c r="B7" s="22" t="s">
        <v>9</v>
      </c>
      <c r="C7" s="32">
        <v>1</v>
      </c>
      <c r="D7" s="33">
        <f>IF(C7="","",C7*0.3)</f>
        <v>0.3</v>
      </c>
      <c r="G7" s="34" t="s">
        <v>10</v>
      </c>
      <c r="H7" s="34"/>
      <c r="I7" s="34"/>
    </row>
    <row r="8" ht="15.15" spans="2:9">
      <c r="B8" s="22" t="s">
        <v>11</v>
      </c>
      <c r="C8" s="35"/>
      <c r="D8" s="33" t="str">
        <f>IF(C8=TRUE,0.6,IF(C6=1,0.6,""))</f>
        <v/>
      </c>
      <c r="G8" s="36" t="s">
        <v>12</v>
      </c>
      <c r="H8" s="37" t="s">
        <v>13</v>
      </c>
      <c r="I8" s="36"/>
    </row>
    <row r="9" ht="15.15" spans="2:9">
      <c r="B9" s="22" t="s">
        <v>14</v>
      </c>
      <c r="C9" s="32">
        <v>1</v>
      </c>
      <c r="D9" s="33">
        <f>IF(C9="","",C9*0.3)</f>
        <v>0.3</v>
      </c>
      <c r="G9" s="38">
        <v>1282</v>
      </c>
      <c r="H9" s="39">
        <v>12</v>
      </c>
      <c r="I9" s="61">
        <f>+G9*H9</f>
        <v>15384</v>
      </c>
    </row>
    <row r="10" ht="15.15" spans="3:9">
      <c r="C10" s="40"/>
      <c r="D10" s="41">
        <f>IF(C7="","",SUM(D6:D9))</f>
        <v>2.1</v>
      </c>
      <c r="G10" s="38"/>
      <c r="H10" s="39"/>
      <c r="I10" s="61">
        <f>+G10*H10</f>
        <v>0</v>
      </c>
    </row>
    <row r="11" spans="2:9">
      <c r="B11" s="42"/>
      <c r="C11" s="43"/>
      <c r="D11" s="44" t="s">
        <v>15</v>
      </c>
      <c r="E11" s="45">
        <f>IF(D10="","",I1*D10)</f>
        <v>20175.96</v>
      </c>
      <c r="G11" s="46"/>
      <c r="H11" s="46"/>
      <c r="I11" s="62">
        <f>I9+I10</f>
        <v>15384</v>
      </c>
    </row>
    <row r="12" ht="15.15" spans="7:9">
      <c r="G12" s="34" t="s">
        <v>16</v>
      </c>
      <c r="H12" s="34"/>
      <c r="I12" s="34"/>
    </row>
    <row r="13" ht="15.15" spans="2:9">
      <c r="B13" s="42"/>
      <c r="C13" s="43"/>
      <c r="D13" s="44" t="s">
        <v>17</v>
      </c>
      <c r="E13" s="45">
        <f>I37</f>
        <v>16043</v>
      </c>
      <c r="G13" s="36" t="s">
        <v>18</v>
      </c>
      <c r="H13" s="36"/>
      <c r="I13" s="63"/>
    </row>
    <row r="14" ht="15.15" spans="5:9">
      <c r="E14" s="47">
        <f>IF(E11="",0,E11-E13)</f>
        <v>4132.96</v>
      </c>
      <c r="G14" s="46" t="s">
        <v>19</v>
      </c>
      <c r="H14" s="46"/>
      <c r="I14" s="62">
        <f>+I13*4</f>
        <v>0</v>
      </c>
    </row>
    <row r="15" ht="15.15" spans="2:9">
      <c r="B15" s="22" t="s">
        <v>20</v>
      </c>
      <c r="D15" s="48"/>
      <c r="G15" s="34" t="s">
        <v>21</v>
      </c>
      <c r="H15" s="34"/>
      <c r="I15" s="34"/>
    </row>
    <row r="16" ht="15.15" spans="2:9">
      <c r="B16" s="22" t="s">
        <v>22</v>
      </c>
      <c r="D16" s="49">
        <f>IF(D14="",0,D14-D15)</f>
        <v>0</v>
      </c>
      <c r="G16" s="46" t="s">
        <v>23</v>
      </c>
      <c r="H16" s="46"/>
      <c r="I16" s="63"/>
    </row>
    <row r="17" ht="15.15" spans="2:9">
      <c r="B17" s="22" t="s">
        <v>24</v>
      </c>
      <c r="G17" s="34" t="s">
        <v>25</v>
      </c>
      <c r="H17" s="34"/>
      <c r="I17" s="34"/>
    </row>
    <row r="18" s="21" customFormat="1" ht="15.15" spans="2:11">
      <c r="B18" s="22" t="s">
        <v>26</v>
      </c>
      <c r="C18" s="22"/>
      <c r="D18" s="22"/>
      <c r="E18" s="22"/>
      <c r="F18" s="22"/>
      <c r="G18" s="36" t="str">
        <f>VLOOKUP(G1,IPREM_CCAA!A2:C20,3,FALSE)</f>
        <v>Renta Social Garantizada</v>
      </c>
      <c r="H18" s="36"/>
      <c r="I18" s="63"/>
      <c r="J18" s="23"/>
      <c r="K18" s="24"/>
    </row>
    <row r="19" s="21" customFormat="1" ht="15.15" spans="2:11">
      <c r="B19" s="22"/>
      <c r="C19" s="22"/>
      <c r="D19" s="22"/>
      <c r="E19" s="22"/>
      <c r="F19" s="22"/>
      <c r="G19" s="36" t="s">
        <v>27</v>
      </c>
      <c r="H19" s="36"/>
      <c r="I19" s="63"/>
      <c r="J19" s="23"/>
      <c r="K19" s="24"/>
    </row>
    <row r="20" s="21" customFormat="1" ht="15.15" spans="2:11">
      <c r="B20" s="22"/>
      <c r="C20" s="22"/>
      <c r="D20" s="22"/>
      <c r="E20" s="22"/>
      <c r="F20" s="22"/>
      <c r="G20" s="36" t="s">
        <v>28</v>
      </c>
      <c r="H20" s="36"/>
      <c r="I20" s="63"/>
      <c r="J20" s="23"/>
      <c r="K20" s="24"/>
    </row>
    <row r="21" s="21" customFormat="1" ht="15.15" spans="2:11">
      <c r="B21" s="22"/>
      <c r="C21" s="22"/>
      <c r="D21" s="22"/>
      <c r="E21" s="22"/>
      <c r="F21" s="22"/>
      <c r="G21" s="36" t="s">
        <v>29</v>
      </c>
      <c r="H21" s="36"/>
      <c r="I21" s="63"/>
      <c r="J21" s="23"/>
      <c r="K21" s="24"/>
    </row>
    <row r="22" s="21" customFormat="1" ht="15.15" spans="2:11">
      <c r="B22" s="22"/>
      <c r="C22" s="22"/>
      <c r="D22" s="22"/>
      <c r="E22" s="22"/>
      <c r="F22" s="22"/>
      <c r="G22" s="36" t="s">
        <v>30</v>
      </c>
      <c r="H22" s="36"/>
      <c r="I22" s="63">
        <v>659</v>
      </c>
      <c r="J22" s="23"/>
      <c r="K22" s="24"/>
    </row>
    <row r="23" s="21" customFormat="1" ht="15.15" spans="2:11">
      <c r="B23" s="22"/>
      <c r="C23" s="22"/>
      <c r="D23" s="22"/>
      <c r="E23" s="22"/>
      <c r="F23" s="22"/>
      <c r="G23" s="36" t="s">
        <v>31</v>
      </c>
      <c r="H23" s="36"/>
      <c r="I23" s="63"/>
      <c r="J23" s="23"/>
      <c r="K23" s="24"/>
    </row>
    <row r="24" s="21" customFormat="1" ht="15.15" spans="2:11">
      <c r="B24" s="22"/>
      <c r="C24" s="22"/>
      <c r="D24" s="22"/>
      <c r="E24" s="22"/>
      <c r="F24" s="22"/>
      <c r="G24" s="36" t="s">
        <v>32</v>
      </c>
      <c r="H24" s="36"/>
      <c r="I24" s="63"/>
      <c r="J24" s="23"/>
      <c r="K24" s="24"/>
    </row>
    <row r="25" s="21" customFormat="1" ht="15.15" spans="2:11">
      <c r="B25" s="50">
        <f>Indicaciones!A1</f>
        <v>0</v>
      </c>
      <c r="C25" s="22"/>
      <c r="D25" s="22"/>
      <c r="E25" s="22"/>
      <c r="F25" s="22"/>
      <c r="G25" s="46" t="s">
        <v>33</v>
      </c>
      <c r="H25" s="46"/>
      <c r="I25" s="63"/>
      <c r="J25" s="23"/>
      <c r="K25" s="24"/>
    </row>
    <row r="26" s="21" customFormat="1" ht="15.15" spans="2:11">
      <c r="B26" s="22"/>
      <c r="C26" s="22"/>
      <c r="D26" s="22"/>
      <c r="E26" s="22"/>
      <c r="F26" s="22"/>
      <c r="G26" s="34" t="s">
        <v>34</v>
      </c>
      <c r="H26" s="34"/>
      <c r="I26" s="34"/>
      <c r="J26" s="23"/>
      <c r="K26" s="24"/>
    </row>
    <row r="27" s="21" customFormat="1" ht="15.15" spans="2:11">
      <c r="B27" s="51" t="s">
        <v>35</v>
      </c>
      <c r="C27" s="22"/>
      <c r="D27" s="22"/>
      <c r="E27" s="22"/>
      <c r="F27" s="22"/>
      <c r="G27" s="36" t="s">
        <v>36</v>
      </c>
      <c r="H27" s="36"/>
      <c r="I27" s="63"/>
      <c r="J27" s="23"/>
      <c r="K27" s="24"/>
    </row>
    <row r="28" s="21" customFormat="1" spans="2:11">
      <c r="B28" s="22"/>
      <c r="C28" s="22"/>
      <c r="D28" s="22"/>
      <c r="E28" s="22"/>
      <c r="F28" s="22"/>
      <c r="G28" s="46" t="s">
        <v>19</v>
      </c>
      <c r="H28" s="46"/>
      <c r="I28" s="62">
        <f>+I27*12</f>
        <v>0</v>
      </c>
      <c r="J28" s="23"/>
      <c r="K28" s="24"/>
    </row>
    <row r="29" s="21" customFormat="1" spans="2:13">
      <c r="B29" s="22"/>
      <c r="C29" s="22"/>
      <c r="D29" s="22"/>
      <c r="E29" s="22"/>
      <c r="F29" s="22"/>
      <c r="G29" s="34" t="s">
        <v>37</v>
      </c>
      <c r="H29" s="34"/>
      <c r="I29" s="34"/>
      <c r="J29" s="23"/>
      <c r="K29" s="24"/>
      <c r="L29" s="36"/>
      <c r="M29" s="36"/>
    </row>
    <row r="30" s="21" customFormat="1" spans="2:13">
      <c r="B30" s="22"/>
      <c r="C30" s="22"/>
      <c r="D30" s="22"/>
      <c r="E30" s="22"/>
      <c r="G30" s="36" t="s">
        <v>38</v>
      </c>
      <c r="H30" s="36"/>
      <c r="I30" s="64"/>
      <c r="J30" s="23"/>
      <c r="K30" s="65"/>
      <c r="L30" s="36"/>
      <c r="M30" s="36"/>
    </row>
    <row r="31" s="21" customFormat="1" spans="2:13">
      <c r="B31" s="22"/>
      <c r="C31" s="22"/>
      <c r="D31" s="22"/>
      <c r="E31" s="22"/>
      <c r="G31" s="36" t="s">
        <v>39</v>
      </c>
      <c r="H31" s="36"/>
      <c r="I31" s="64"/>
      <c r="J31" s="23"/>
      <c r="K31" s="65"/>
      <c r="L31" s="36"/>
      <c r="M31" s="36"/>
    </row>
    <row r="32" s="21" customFormat="1" spans="2:13">
      <c r="B32" s="22"/>
      <c r="C32" s="22"/>
      <c r="D32" s="22"/>
      <c r="E32" s="22"/>
      <c r="G32" s="36" t="s">
        <v>40</v>
      </c>
      <c r="H32" s="36"/>
      <c r="I32" s="64"/>
      <c r="J32" s="23"/>
      <c r="K32" s="65"/>
      <c r="L32" s="36"/>
      <c r="M32" s="36"/>
    </row>
    <row r="33" s="21" customFormat="1" spans="2:13">
      <c r="B33" s="22"/>
      <c r="C33" s="22"/>
      <c r="D33" s="22"/>
      <c r="E33" s="22"/>
      <c r="G33" s="52" t="s">
        <v>41</v>
      </c>
      <c r="H33" s="52"/>
      <c r="I33" s="66"/>
      <c r="J33" s="23"/>
      <c r="K33" s="65"/>
      <c r="L33" s="36"/>
      <c r="M33" s="36"/>
    </row>
    <row r="34" s="21" customFormat="1" ht="15.15" spans="2:13">
      <c r="B34" s="22"/>
      <c r="C34" s="22"/>
      <c r="D34" s="22"/>
      <c r="E34" s="22"/>
      <c r="F34" s="22"/>
      <c r="G34" s="34" t="s">
        <v>42</v>
      </c>
      <c r="H34" s="34"/>
      <c r="I34" s="34"/>
      <c r="J34" s="23"/>
      <c r="K34" s="24"/>
      <c r="L34" s="36"/>
      <c r="M34" s="36"/>
    </row>
    <row r="35" s="21" customFormat="1" ht="15.15" spans="7:13">
      <c r="G35" s="46" t="s">
        <v>43</v>
      </c>
      <c r="H35" s="46"/>
      <c r="I35" s="67"/>
      <c r="J35" s="23"/>
      <c r="K35" s="24"/>
      <c r="L35" s="36"/>
      <c r="M35" s="36"/>
    </row>
    <row r="36" s="21" customFormat="1" ht="6" customHeight="1" spans="7:13">
      <c r="G36" s="36"/>
      <c r="H36" s="36"/>
      <c r="I36" s="64"/>
      <c r="J36" s="23"/>
      <c r="K36" s="24"/>
      <c r="L36" s="36"/>
      <c r="M36" s="36"/>
    </row>
    <row r="37" s="21" customFormat="1" spans="7:13">
      <c r="G37" s="53"/>
      <c r="H37" s="54" t="s">
        <v>44</v>
      </c>
      <c r="I37" s="68">
        <f>I11+I14+I16+I18+I19+I20+I21+I22+I23+I24+I25+I28+I35</f>
        <v>16043</v>
      </c>
      <c r="J37" s="23"/>
      <c r="K37" s="24"/>
      <c r="L37" s="36"/>
      <c r="M37" s="36"/>
    </row>
  </sheetData>
  <sheetProtection algorithmName="SHA-512" hashValue="vDAfKzUwZ+2Yl7r1OiuHvB2l7h1AFHBF/CmuAdLuMGPo1MoNk8vXipEQQnqfOA0rrWEdY8XTzhaumgAYzJFmeg==" saltValue="gGFkMp0hQGe2WGZBls7DAg==" spinCount="100000" sheet="1" objects="1" scenarios="1"/>
  <customSheetViews>
    <customSheetView guid="{BB5EEF31-97A7-4C43-B3B9-77F8C4FAC9AF}" scale="120" showGridLines="0" showRowCol="0" zeroValues="0">
      <pane ySplit="4" topLeftCell="A5" activePane="bottomLeft" state="frozen"/>
      <selection activeCell="J19" sqref="J19"/>
      <pageMargins left="0.7" right="0.7" top="0.75" bottom="0.75" header="0.3" footer="0.3"/>
      <pageSetup paperSize="9" orientation="portrait"/>
      <headerFooter/>
    </customSheetView>
  </customSheetViews>
  <mergeCells count="1">
    <mergeCell ref="D3:I3"/>
  </mergeCells>
  <conditionalFormatting sqref="B3">
    <cfRule type="expression" dxfId="0" priority="1">
      <formula>$D$10=""</formula>
    </cfRule>
  </conditionalFormatting>
  <conditionalFormatting sqref="D3">
    <cfRule type="beginsWith" dxfId="1" priority="2" stopIfTrue="1" operator="equal" text="Cumple">
      <formula>LEFT(D3,LEN("Cumple"))="Cumple"</formula>
    </cfRule>
    <cfRule type="containsText" dxfId="2" priority="3" operator="between" text="NO">
      <formula>NOT(ISERROR(SEARCH("NO",D3)))</formula>
    </cfRule>
    <cfRule type="cellIs" priority="4" operator="equal">
      <formula>0</formula>
    </cfRule>
  </conditionalFormatting>
  <dataValidations count="4">
    <dataValidation type="list" allowBlank="1" showInputMessage="1" showErrorMessage="1" sqref="G1">
      <formula1>IPREM_CCAA!$A$2:$A$20</formula1>
    </dataValidation>
    <dataValidation type="whole" operator="greaterThan" allowBlank="1" showInputMessage="1" showErrorMessage="1" sqref="C9 C6:C7">
      <formula1>0</formula1>
    </dataValidation>
    <dataValidation type="decimal" operator="greaterThan" allowBlank="1" showInputMessage="1" showErrorMessage="1" sqref="I13 I16 I27 I35 G9:G10 I18:I25">
      <formula1>1</formula1>
    </dataValidation>
    <dataValidation type="whole" operator="between" allowBlank="1" showInputMessage="1" showErrorMessage="1" sqref="H9:H10">
      <formula1>1</formula1>
      <formula2>16</formula2>
    </dataValidation>
  </dataValidations>
  <pageMargins left="0.7" right="0.7" top="0.75" bottom="0.75" header="0.3" footer="0.3"/>
  <pageSetup paperSize="9" orientation="portrait"/>
  <headerFooter/>
  <ignoredErrors>
    <ignoredError sqref="D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Check Box 1" r:id="rId3">
              <controlPr defaultSize="0">
                <anchor moveWithCells="1">
                  <from>
                    <xdr:col>2</xdr:col>
                    <xdr:colOff>60960</xdr:colOff>
                    <xdr:row>7</xdr:row>
                    <xdr:rowOff>22860</xdr:rowOff>
                  </from>
                  <to>
                    <xdr:col>2</xdr:col>
                    <xdr:colOff>236220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Check Box 2" r:id="rId4">
              <controlPr defaultSize="0">
                <anchor moveWithCells="1">
                  <from>
                    <xdr:col>6</xdr:col>
                    <xdr:colOff>30480</xdr:colOff>
                    <xdr:row>29</xdr:row>
                    <xdr:rowOff>0</xdr:rowOff>
                  </from>
                  <to>
                    <xdr:col>6</xdr:col>
                    <xdr:colOff>213360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Check Box 3" r:id="rId5">
              <controlPr defaultSize="0">
                <anchor moveWithCells="1">
                  <from>
                    <xdr:col>6</xdr:col>
                    <xdr:colOff>30480</xdr:colOff>
                    <xdr:row>30</xdr:row>
                    <xdr:rowOff>0</xdr:rowOff>
                  </from>
                  <to>
                    <xdr:col>6</xdr:col>
                    <xdr:colOff>213360</xdr:colOff>
                    <xdr:row>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Check Box 4" r:id="rId6">
              <controlPr defaultSize="0">
                <anchor moveWithCells="1">
                  <from>
                    <xdr:col>6</xdr:col>
                    <xdr:colOff>30480</xdr:colOff>
                    <xdr:row>31</xdr:row>
                    <xdr:rowOff>0</xdr:rowOff>
                  </from>
                  <to>
                    <xdr:col>6</xdr:col>
                    <xdr:colOff>213360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Check Box 5" r:id="rId7">
              <controlPr defaultSize="0">
                <anchor moveWithCells="1">
                  <from>
                    <xdr:col>6</xdr:col>
                    <xdr:colOff>30480</xdr:colOff>
                    <xdr:row>32</xdr:row>
                    <xdr:rowOff>0</xdr:rowOff>
                  </from>
                  <to>
                    <xdr:col>6</xdr:col>
                    <xdr:colOff>213360</xdr:colOff>
                    <xdr:row>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Check Box 6" r:id="rId8">
              <controlPr defaultSize="0">
                <anchor moveWithCells="1">
                  <from>
                    <xdr:col>2</xdr:col>
                    <xdr:colOff>60960</xdr:colOff>
                    <xdr:row>7</xdr:row>
                    <xdr:rowOff>22860</xdr:rowOff>
                  </from>
                  <to>
                    <xdr:col>2</xdr:col>
                    <xdr:colOff>236220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name="Check Box 7" r:id="rId9">
              <controlPr defaultSize="0">
                <anchor moveWithCells="1">
                  <from>
                    <xdr:col>6</xdr:col>
                    <xdr:colOff>30480</xdr:colOff>
                    <xdr:row>29</xdr:row>
                    <xdr:rowOff>0</xdr:rowOff>
                  </from>
                  <to>
                    <xdr:col>6</xdr:col>
                    <xdr:colOff>213360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name="Check Box 8" r:id="rId10">
              <controlPr defaultSize="0">
                <anchor moveWithCells="1">
                  <from>
                    <xdr:col>6</xdr:col>
                    <xdr:colOff>30480</xdr:colOff>
                    <xdr:row>30</xdr:row>
                    <xdr:rowOff>0</xdr:rowOff>
                  </from>
                  <to>
                    <xdr:col>6</xdr:col>
                    <xdr:colOff>213360</xdr:colOff>
                    <xdr:row>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name="Check Box 9" r:id="rId11">
              <controlPr defaultSize="0">
                <anchor moveWithCells="1">
                  <from>
                    <xdr:col>6</xdr:col>
                    <xdr:colOff>30480</xdr:colOff>
                    <xdr:row>31</xdr:row>
                    <xdr:rowOff>0</xdr:rowOff>
                  </from>
                  <to>
                    <xdr:col>6</xdr:col>
                    <xdr:colOff>213360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name="Check Box 10" r:id="rId12">
              <controlPr defaultSize="0">
                <anchor moveWithCells="1">
                  <from>
                    <xdr:col>6</xdr:col>
                    <xdr:colOff>30480</xdr:colOff>
                    <xdr:row>32</xdr:row>
                    <xdr:rowOff>0</xdr:rowOff>
                  </from>
                  <to>
                    <xdr:col>6</xdr:col>
                    <xdr:colOff>213360</xdr:colOff>
                    <xdr:row>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name="Check Box 11" r:id="rId13">
              <controlPr defaultSize="0">
                <anchor moveWithCells="1">
                  <from>
                    <xdr:col>3</xdr:col>
                    <xdr:colOff>68580</xdr:colOff>
                    <xdr:row>14</xdr:row>
                    <xdr:rowOff>190500</xdr:rowOff>
                  </from>
                  <to>
                    <xdr:col>4</xdr:col>
                    <xdr:colOff>7620</xdr:colOff>
                    <xdr:row>16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"/>
  <dimension ref="B1:C20"/>
  <sheetViews>
    <sheetView showGridLines="0" showRowColHeaders="0" zoomScale="115" zoomScaleNormal="115" workbookViewId="0">
      <pane xSplit="1" ySplit="1" topLeftCell="B2" activePane="bottomRight" state="frozen"/>
      <selection/>
      <selection pane="topRight"/>
      <selection pane="bottomLeft"/>
      <selection pane="bottomRight" activeCell="A2" sqref="A2"/>
    </sheetView>
  </sheetViews>
  <sheetFormatPr defaultColWidth="10.8888888888889" defaultRowHeight="14.4" outlineLevelCol="2"/>
  <cols>
    <col min="1" max="1" width="1.88888888888889" style="7" customWidth="1"/>
    <col min="2" max="2" width="4.11111111111111" style="7" customWidth="1"/>
    <col min="3" max="3" width="90.6666666666667" style="7" customWidth="1"/>
    <col min="4" max="4" width="10.8888888888889" style="8"/>
    <col min="5" max="16384" width="10.8888888888889" style="7"/>
  </cols>
  <sheetData>
    <row r="1" ht="33" customHeight="1" spans="2:3">
      <c r="B1" s="9" t="s">
        <v>45</v>
      </c>
      <c r="C1" s="8"/>
    </row>
    <row r="2" ht="53.7" customHeight="1" spans="2:3">
      <c r="B2" s="10" t="s">
        <v>46</v>
      </c>
      <c r="C2" s="10"/>
    </row>
    <row r="3" spans="2:3">
      <c r="B3" s="11" t="s">
        <v>47</v>
      </c>
      <c r="C3" s="11"/>
    </row>
    <row r="4" ht="17.7" customHeight="1" spans="2:3">
      <c r="B4" s="12"/>
      <c r="C4" s="69" t="s">
        <v>48</v>
      </c>
    </row>
    <row r="5" ht="17.7" customHeight="1" spans="2:3">
      <c r="B5" s="12"/>
      <c r="C5" s="69" t="s">
        <v>49</v>
      </c>
    </row>
    <row r="6" ht="34.95" customHeight="1" spans="2:3">
      <c r="B6" s="12"/>
      <c r="C6" s="13" t="s">
        <v>50</v>
      </c>
    </row>
    <row r="7" ht="17.7" customHeight="1" spans="2:3">
      <c r="B7" s="12"/>
      <c r="C7" s="13" t="s">
        <v>51</v>
      </c>
    </row>
    <row r="8" ht="34.95" customHeight="1" spans="3:3">
      <c r="C8" s="14" t="s">
        <v>52</v>
      </c>
    </row>
    <row r="9" ht="32.7" customHeight="1" spans="2:3">
      <c r="B9" s="11" t="s">
        <v>53</v>
      </c>
      <c r="C9" s="11"/>
    </row>
    <row r="10" ht="65.7" customHeight="1" spans="2:3">
      <c r="B10" s="15"/>
      <c r="C10" s="16" t="s">
        <v>54</v>
      </c>
    </row>
    <row r="11" ht="37.2" customHeight="1" spans="2:3">
      <c r="B11" s="17"/>
      <c r="C11" s="18" t="s">
        <v>55</v>
      </c>
    </row>
    <row r="12" ht="37.5" customHeight="1" spans="2:3">
      <c r="B12" s="17"/>
      <c r="C12" s="18" t="s">
        <v>56</v>
      </c>
    </row>
    <row r="13" ht="39" customHeight="1" spans="2:3">
      <c r="B13" s="17"/>
      <c r="C13" s="18" t="s">
        <v>57</v>
      </c>
    </row>
    <row r="14" ht="37.2" customHeight="1" spans="2:3">
      <c r="B14" s="17"/>
      <c r="C14" s="18" t="s">
        <v>58</v>
      </c>
    </row>
    <row r="15" ht="28.8" spans="2:3">
      <c r="B15" s="17"/>
      <c r="C15" s="18" t="s">
        <v>59</v>
      </c>
    </row>
    <row r="16" ht="43.5" customHeight="1" spans="2:3">
      <c r="B16" s="17"/>
      <c r="C16" s="18" t="s">
        <v>60</v>
      </c>
    </row>
    <row r="17" ht="22.95" customHeight="1" spans="2:3">
      <c r="B17" s="19"/>
      <c r="C17" s="14" t="s">
        <v>61</v>
      </c>
    </row>
    <row r="18" ht="63.45" customHeight="1" spans="2:3">
      <c r="B18" s="10" t="s">
        <v>62</v>
      </c>
      <c r="C18" s="10"/>
    </row>
    <row r="19" ht="37.5" customHeight="1" spans="2:3">
      <c r="B19" s="10" t="s">
        <v>63</v>
      </c>
      <c r="C19" s="10"/>
    </row>
    <row r="20" ht="21" customHeight="1" spans="2:3">
      <c r="B20" s="10" t="s">
        <v>64</v>
      </c>
      <c r="C20" s="10"/>
    </row>
  </sheetData>
  <mergeCells count="6">
    <mergeCell ref="B2:C2"/>
    <mergeCell ref="B3:C3"/>
    <mergeCell ref="B9:C9"/>
    <mergeCell ref="B18:C18"/>
    <mergeCell ref="B19:C19"/>
    <mergeCell ref="B20:C20"/>
  </mergeCells>
  <pageMargins left="0.7" right="0.7" top="0.75" bottom="0.75" header="0.3" footer="0.3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"/>
  <dimension ref="A1:I21"/>
  <sheetViews>
    <sheetView zoomScale="130" zoomScaleNormal="130" workbookViewId="0">
      <selection activeCell="F3" sqref="F3"/>
    </sheetView>
  </sheetViews>
  <sheetFormatPr defaultColWidth="11" defaultRowHeight="14.4"/>
  <cols>
    <col min="1" max="1" width="26.6666666666667" customWidth="1"/>
    <col min="3" max="3" width="35.1111111111111" customWidth="1"/>
    <col min="4" max="5" width="13.3333333333333" customWidth="1"/>
    <col min="7" max="7" width="12.4444444444444" customWidth="1"/>
  </cols>
  <sheetData>
    <row r="1" ht="18.15" spans="1:7">
      <c r="A1" s="1" t="s">
        <v>65</v>
      </c>
      <c r="B1" s="1"/>
      <c r="D1" s="2" t="s">
        <v>66</v>
      </c>
      <c r="E1" s="3" t="s">
        <v>67</v>
      </c>
      <c r="G1" s="3"/>
    </row>
    <row r="2" ht="15.15" spans="1:9">
      <c r="A2" t="s">
        <v>68</v>
      </c>
      <c r="B2" s="4">
        <v>8444.08</v>
      </c>
      <c r="C2" t="s">
        <v>69</v>
      </c>
      <c r="E2" s="4"/>
      <c r="G2" s="5"/>
      <c r="H2" s="4"/>
      <c r="I2" s="6"/>
    </row>
    <row r="3" spans="1:9">
      <c r="A3" t="s">
        <v>70</v>
      </c>
      <c r="B3" s="4">
        <v>9251.72</v>
      </c>
      <c r="C3" t="s">
        <v>71</v>
      </c>
      <c r="E3" s="4"/>
      <c r="H3" s="4"/>
      <c r="I3" s="6"/>
    </row>
    <row r="4" spans="1:9">
      <c r="A4" t="s">
        <v>72</v>
      </c>
      <c r="B4" s="4">
        <v>9219.46</v>
      </c>
      <c r="C4" t="s">
        <v>73</v>
      </c>
      <c r="E4" s="4"/>
      <c r="H4" s="4"/>
      <c r="I4" s="6"/>
    </row>
    <row r="5" spans="1:9">
      <c r="A5" t="s">
        <v>0</v>
      </c>
      <c r="B5" s="4">
        <v>9607.6</v>
      </c>
      <c r="C5" t="s">
        <v>74</v>
      </c>
      <c r="E5" s="4"/>
      <c r="H5" s="4"/>
      <c r="I5" s="6"/>
    </row>
    <row r="6" spans="1:9">
      <c r="A6" t="s">
        <v>75</v>
      </c>
      <c r="B6" s="4">
        <v>8400</v>
      </c>
      <c r="C6" t="s">
        <v>76</v>
      </c>
      <c r="E6" s="4"/>
      <c r="H6" s="4"/>
      <c r="I6" s="6"/>
    </row>
    <row r="7" spans="1:9">
      <c r="A7" t="s">
        <v>77</v>
      </c>
      <c r="B7" s="4">
        <v>8573.36</v>
      </c>
      <c r="C7" t="s">
        <v>78</v>
      </c>
      <c r="E7" s="4"/>
      <c r="H7" s="4"/>
      <c r="I7" s="6"/>
    </row>
    <row r="8" spans="1:9">
      <c r="A8" t="s">
        <v>79</v>
      </c>
      <c r="B8" s="4">
        <v>8667.69</v>
      </c>
      <c r="C8" t="s">
        <v>80</v>
      </c>
      <c r="E8" s="4"/>
      <c r="H8" s="4"/>
      <c r="I8" s="6"/>
    </row>
    <row r="9" spans="1:9">
      <c r="A9" t="s">
        <v>81</v>
      </c>
      <c r="B9" s="4">
        <v>8575.2</v>
      </c>
      <c r="C9" t="s">
        <v>82</v>
      </c>
      <c r="E9" s="4"/>
      <c r="H9" s="4"/>
      <c r="I9" s="6"/>
    </row>
    <row r="10" spans="1:9">
      <c r="A10" t="s">
        <v>83</v>
      </c>
      <c r="B10" s="4">
        <v>9567.83</v>
      </c>
      <c r="C10" t="s">
        <v>80</v>
      </c>
      <c r="E10" s="4"/>
      <c r="H10" s="4"/>
      <c r="I10" s="6"/>
    </row>
    <row r="11" spans="1:9">
      <c r="A11" t="s">
        <v>84</v>
      </c>
      <c r="B11" s="4">
        <v>8400</v>
      </c>
      <c r="C11" t="s">
        <v>85</v>
      </c>
      <c r="E11" s="4"/>
      <c r="H11" s="4"/>
      <c r="I11" s="6"/>
    </row>
    <row r="12" spans="1:9">
      <c r="A12" t="s">
        <v>86</v>
      </c>
      <c r="B12" s="4">
        <v>8495.99</v>
      </c>
      <c r="C12" t="s">
        <v>87</v>
      </c>
      <c r="E12" s="4"/>
      <c r="H12" s="4"/>
      <c r="I12" s="6"/>
    </row>
    <row r="13" spans="1:9">
      <c r="A13" t="s">
        <v>88</v>
      </c>
      <c r="B13" s="4">
        <v>8497.2</v>
      </c>
      <c r="C13" t="s">
        <v>89</v>
      </c>
      <c r="E13" s="4"/>
      <c r="H13" s="4"/>
      <c r="I13" s="6"/>
    </row>
    <row r="14" spans="1:9">
      <c r="A14" t="s">
        <v>90</v>
      </c>
      <c r="B14" s="4">
        <v>9794.85</v>
      </c>
      <c r="C14" t="s">
        <v>91</v>
      </c>
      <c r="E14" s="4"/>
      <c r="H14" s="4"/>
      <c r="I14" s="6"/>
    </row>
    <row r="15" spans="1:9">
      <c r="A15" t="s">
        <v>92</v>
      </c>
      <c r="B15" s="4">
        <v>8443.06</v>
      </c>
      <c r="C15" t="s">
        <v>93</v>
      </c>
      <c r="E15" s="4"/>
      <c r="H15" s="4"/>
      <c r="I15" s="6"/>
    </row>
    <row r="16" spans="1:9">
      <c r="A16" t="s">
        <v>94</v>
      </c>
      <c r="B16" s="4">
        <v>10426.01</v>
      </c>
      <c r="C16" t="s">
        <v>95</v>
      </c>
      <c r="E16" s="4"/>
      <c r="H16" s="4"/>
      <c r="I16" s="6"/>
    </row>
    <row r="17" spans="1:9">
      <c r="A17" t="s">
        <v>96</v>
      </c>
      <c r="B17" s="4">
        <v>10933.32</v>
      </c>
      <c r="C17" t="s">
        <v>97</v>
      </c>
      <c r="E17" s="4"/>
      <c r="H17" s="4"/>
      <c r="I17" s="6"/>
    </row>
    <row r="18" spans="1:9">
      <c r="A18" t="s">
        <v>98</v>
      </c>
      <c r="B18" s="4">
        <v>9243.58</v>
      </c>
      <c r="C18" t="s">
        <v>99</v>
      </c>
      <c r="E18" s="4"/>
      <c r="H18" s="4"/>
      <c r="I18" s="6"/>
    </row>
    <row r="19" spans="1:9">
      <c r="A19" t="s">
        <v>100</v>
      </c>
      <c r="B19" s="4">
        <v>8400</v>
      </c>
      <c r="C19" t="s">
        <v>101</v>
      </c>
      <c r="E19" s="4"/>
      <c r="H19" s="4"/>
      <c r="I19" s="6"/>
    </row>
    <row r="20" spans="1:9">
      <c r="A20" t="s">
        <v>102</v>
      </c>
      <c r="B20" s="4">
        <v>8503.96</v>
      </c>
      <c r="C20" t="s">
        <v>101</v>
      </c>
      <c r="E20" s="4"/>
      <c r="H20" s="4"/>
      <c r="I20" s="6"/>
    </row>
    <row r="21" spans="1:2">
      <c r="A21" t="s">
        <v>103</v>
      </c>
      <c r="B21" s="4">
        <v>8400</v>
      </c>
    </row>
  </sheetData>
  <sortState ref="A2:B20">
    <sortCondition ref="A2"/>
  </sortState>
  <conditionalFormatting sqref="I2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{d527a4df-4fc1-443f-9286-560fdaf4713d}</x14:id>
        </ext>
      </extLst>
    </cfRule>
  </conditionalFormatting>
  <pageMargins left="0.7" right="0.7" top="0.75" bottom="0.75" header="0.3" footer="0.3"/>
  <pageSetup paperSize="9" orientation="portrait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27a4df-4fc1-443f-9286-560fdaf471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I2:I20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3" master="" otherUserPermission="visible"/>
  <rangeList sheetStid="2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Verificacion_Ingresos</vt:lpstr>
      <vt:lpstr>Indicaciones</vt:lpstr>
      <vt:lpstr>IPREM_CCAA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Garcia</dc:creator>
  <cp:lastModifiedBy>Piedi Cuadrado Belmonte</cp:lastModifiedBy>
  <dcterms:created xsi:type="dcterms:W3CDTF">2018-11-29T20:23:00Z</dcterms:created>
  <dcterms:modified xsi:type="dcterms:W3CDTF">2025-11-20T14:55:12Z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A6A7A9EC9A614BB9B10B40CD372F1A64_12</vt:lpwstr>
  </property>
  <property fmtid="{D5CDD505-2E9C-101B-9397-08002B2CF9AE}" pid="3" name="KSOProductBuildVer">
    <vt:lpwstr>3082-12.2.0.23155</vt:lpwstr>
  </property>
</Properties>
</file>